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5360" windowHeight="9045" firstSheet="4" activeTab="10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7" i="12" l="1"/>
  <c r="I157" i="12"/>
  <c r="J157" i="12"/>
  <c r="K157" i="12"/>
  <c r="L157" i="12"/>
  <c r="M157" i="12"/>
  <c r="F157" i="12" l="1"/>
  <c r="L152" i="15" l="1"/>
  <c r="F152" i="15" l="1"/>
  <c r="E80" i="4" l="1"/>
  <c r="D80" i="4"/>
  <c r="M175" i="4" l="1"/>
  <c r="J175" i="4"/>
  <c r="K175" i="4"/>
  <c r="L175" i="4"/>
  <c r="E102" i="4" l="1"/>
  <c r="D102" i="4"/>
  <c r="D10" i="4" l="1"/>
  <c r="E10" i="4"/>
  <c r="E167" i="4" l="1"/>
  <c r="D167" i="4"/>
  <c r="E164" i="4" l="1"/>
  <c r="D164" i="4"/>
  <c r="E152" i="4" l="1"/>
  <c r="D152" i="4"/>
  <c r="E151" i="4" l="1"/>
  <c r="D151" i="4"/>
  <c r="E150" i="4"/>
  <c r="D150" i="4"/>
  <c r="E149" i="4"/>
  <c r="D149" i="4"/>
  <c r="E148" i="4" l="1"/>
  <c r="D148" i="4"/>
  <c r="E147" i="4"/>
  <c r="D147" i="4"/>
  <c r="E146" i="4" l="1"/>
  <c r="D146" i="4"/>
  <c r="E145" i="4" l="1"/>
  <c r="D145" i="4"/>
  <c r="E140" i="4" l="1"/>
  <c r="E144" i="4"/>
  <c r="D144" i="4"/>
  <c r="E143" i="4" l="1"/>
  <c r="D143" i="4"/>
  <c r="E141" i="4" l="1"/>
  <c r="D141" i="4"/>
  <c r="E142" i="4"/>
  <c r="D142" i="4"/>
  <c r="D140" i="4" l="1"/>
  <c r="E139" i="4" l="1"/>
  <c r="D139" i="4"/>
  <c r="E133" i="4" l="1"/>
  <c r="E138" i="4" l="1"/>
  <c r="D138" i="4"/>
  <c r="E137" i="4" l="1"/>
  <c r="D137" i="4"/>
  <c r="E136" i="4" l="1"/>
  <c r="D136" i="4"/>
  <c r="E135" i="4" l="1"/>
  <c r="D135" i="4"/>
  <c r="E134" i="4" l="1"/>
  <c r="D134" i="4"/>
  <c r="D133" i="4" l="1"/>
  <c r="E131" i="4" l="1"/>
  <c r="E132" i="4"/>
  <c r="D132" i="4"/>
  <c r="D131" i="4" l="1"/>
  <c r="E130" i="4" l="1"/>
  <c r="D130" i="4"/>
  <c r="E127" i="4" l="1"/>
  <c r="D127" i="4"/>
  <c r="D126" i="4"/>
  <c r="E129" i="4" l="1"/>
  <c r="D129" i="4"/>
  <c r="E128" i="4" l="1"/>
  <c r="D128" i="4"/>
  <c r="E109" i="4" l="1"/>
  <c r="D109" i="4"/>
  <c r="E126" i="4" l="1"/>
  <c r="E125" i="4" l="1"/>
  <c r="D125" i="4"/>
  <c r="E124" i="4" l="1"/>
  <c r="D124" i="4"/>
  <c r="E122" i="4" l="1"/>
  <c r="D122" i="4"/>
  <c r="E123" i="4"/>
  <c r="D123" i="4"/>
  <c r="E121" i="4" l="1"/>
  <c r="D121" i="4"/>
  <c r="E99" i="4" l="1"/>
  <c r="D99" i="4"/>
  <c r="D100" i="4"/>
  <c r="E100" i="4"/>
  <c r="E101" i="4"/>
  <c r="D101" i="4"/>
  <c r="E120" i="4" l="1"/>
  <c r="D120" i="4"/>
  <c r="E119" i="4"/>
  <c r="E118" i="4"/>
  <c r="D119" i="4"/>
  <c r="D118" i="4"/>
  <c r="E117" i="4" l="1"/>
  <c r="D117" i="4"/>
  <c r="E116" i="4"/>
  <c r="D116" i="4"/>
  <c r="E115" i="4"/>
  <c r="D115" i="4"/>
  <c r="E114" i="4" l="1"/>
  <c r="D114" i="4"/>
  <c r="E113" i="4" l="1"/>
  <c r="D113" i="4"/>
  <c r="E112" i="4"/>
  <c r="D112" i="4"/>
  <c r="E111" i="4"/>
  <c r="D111" i="4"/>
  <c r="E110" i="4" l="1"/>
  <c r="D110" i="4"/>
  <c r="E108" i="4" l="1"/>
  <c r="D108" i="4"/>
  <c r="E107" i="4"/>
  <c r="D107" i="4"/>
  <c r="E106" i="4" l="1"/>
  <c r="D106" i="4"/>
  <c r="E105" i="4"/>
  <c r="D105" i="4"/>
  <c r="E104" i="4"/>
  <c r="D104" i="4"/>
  <c r="E103" i="4" l="1"/>
  <c r="D103" i="4"/>
  <c r="E98" i="4" l="1"/>
  <c r="D98" i="4"/>
  <c r="E97" i="4" l="1"/>
  <c r="D97" i="4"/>
  <c r="E96" i="4" l="1"/>
  <c r="D96" i="4"/>
  <c r="E95" i="4" l="1"/>
  <c r="D95" i="4"/>
  <c r="E94" i="4"/>
  <c r="D94" i="4"/>
  <c r="E93" i="4"/>
  <c r="D93" i="4"/>
  <c r="E92" i="4"/>
  <c r="D92" i="4"/>
  <c r="E91" i="4" l="1"/>
  <c r="D91" i="4"/>
  <c r="E90" i="4" l="1"/>
  <c r="D90" i="4"/>
  <c r="E89" i="4" l="1"/>
  <c r="D89" i="4"/>
  <c r="E88" i="4"/>
  <c r="D88" i="4"/>
  <c r="E87" i="4"/>
  <c r="D87" i="4"/>
  <c r="E86" i="4" l="1"/>
  <c r="D86" i="4"/>
  <c r="E85" i="4"/>
  <c r="D85" i="4"/>
  <c r="E84" i="4"/>
  <c r="D84" i="4"/>
  <c r="E83" i="4"/>
  <c r="D83" i="4"/>
  <c r="E82" i="4" l="1"/>
  <c r="D82" i="4"/>
  <c r="E81" i="4" l="1"/>
  <c r="D81" i="4"/>
  <c r="E8" i="4" l="1"/>
  <c r="D8" i="4"/>
  <c r="E44" i="4" l="1"/>
  <c r="D44" i="4"/>
  <c r="E79" i="4" l="1"/>
  <c r="D79" i="4"/>
  <c r="E50" i="4" l="1"/>
  <c r="E70" i="4"/>
  <c r="E75" i="4"/>
  <c r="E78" i="4" l="1"/>
  <c r="D78" i="4"/>
  <c r="E77" i="4"/>
  <c r="D77" i="4" l="1"/>
  <c r="E76" i="4" l="1"/>
  <c r="D76" i="4"/>
  <c r="D75" i="4"/>
  <c r="E74" i="4"/>
  <c r="D74" i="4"/>
  <c r="E73" i="4" l="1"/>
  <c r="D73" i="4"/>
  <c r="E72" i="4" l="1"/>
  <c r="D72" i="4"/>
  <c r="E71" i="4" l="1"/>
  <c r="D71" i="4"/>
  <c r="D70" i="4"/>
  <c r="E69" i="4"/>
  <c r="D69" i="4"/>
  <c r="E68" i="4" l="1"/>
  <c r="D68" i="4"/>
  <c r="E67" i="4" l="1"/>
  <c r="D67" i="4"/>
  <c r="E66" i="4"/>
  <c r="D66" i="4"/>
  <c r="E65" i="4" l="1"/>
  <c r="D65" i="4"/>
  <c r="E64" i="4"/>
  <c r="D64" i="4"/>
  <c r="E63" i="4" l="1"/>
  <c r="D63" i="4"/>
  <c r="E62" i="4" l="1"/>
  <c r="D62" i="4"/>
  <c r="E61" i="4"/>
  <c r="D61" i="4"/>
  <c r="E60" i="4" l="1"/>
  <c r="D60" i="4"/>
  <c r="E59" i="4" l="1"/>
  <c r="D59" i="4"/>
  <c r="E58" i="4" l="1"/>
  <c r="D58" i="4" l="1"/>
  <c r="E57" i="4"/>
  <c r="D57" i="4"/>
  <c r="E56" i="4" l="1"/>
  <c r="D56" i="4"/>
  <c r="E55" i="4" l="1"/>
  <c r="D55" i="4"/>
  <c r="E54" i="4" l="1"/>
  <c r="D54" i="4"/>
  <c r="E53" i="4"/>
  <c r="D53" i="4"/>
  <c r="E52" i="4"/>
  <c r="D52" i="4"/>
  <c r="E51" i="4"/>
  <c r="D51" i="4"/>
  <c r="D50" i="4" l="1"/>
  <c r="E49" i="4"/>
  <c r="D49" i="4"/>
  <c r="E48" i="4"/>
  <c r="D48" i="4"/>
  <c r="E47" i="4"/>
  <c r="D47" i="4"/>
  <c r="E35" i="4" l="1"/>
  <c r="D35" i="4"/>
  <c r="E7" i="4"/>
  <c r="D7" i="4"/>
  <c r="E46" i="4" l="1"/>
  <c r="D46" i="4"/>
  <c r="E45" i="4"/>
  <c r="D45" i="4"/>
  <c r="E42" i="4" l="1"/>
  <c r="D42" i="4"/>
  <c r="E43" i="4"/>
  <c r="D43" i="4"/>
  <c r="E41" i="4"/>
  <c r="D41" i="4"/>
  <c r="E40" i="4" l="1"/>
  <c r="D40" i="4"/>
  <c r="E39" i="4" l="1"/>
  <c r="D39" i="4"/>
  <c r="E38" i="4"/>
  <c r="D38" i="4"/>
  <c r="E37" i="4"/>
  <c r="D37" i="4"/>
  <c r="E36" i="4"/>
  <c r="D36" i="4"/>
  <c r="E34" i="4" l="1"/>
  <c r="D34" i="4" l="1"/>
  <c r="E33" i="4"/>
  <c r="D33" i="4"/>
  <c r="E32" i="4"/>
  <c r="D32" i="4"/>
  <c r="E31" i="4"/>
  <c r="D31" i="4"/>
  <c r="E30" i="4" l="1"/>
  <c r="D30" i="4"/>
  <c r="D29" i="4" l="1"/>
  <c r="E29" i="4"/>
  <c r="E28" i="4"/>
  <c r="J30" i="7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D28" i="4"/>
  <c r="J26" i="4"/>
  <c r="J25" i="4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E13" i="4"/>
  <c r="D13" i="4"/>
  <c r="E12" i="4"/>
  <c r="D12" i="4"/>
  <c r="E11" i="4"/>
  <c r="D11" i="4"/>
  <c r="M10" i="4"/>
  <c r="M5" i="4"/>
  <c r="M6" i="4"/>
  <c r="J9" i="4"/>
  <c r="E9" i="4"/>
  <c r="D9" i="4"/>
  <c r="N93" i="2" l="1"/>
  <c r="D6" i="4" l="1"/>
  <c r="E6" i="4"/>
  <c r="M2" i="4"/>
  <c r="F16" i="1" l="1"/>
  <c r="E5" i="4"/>
  <c r="D5" i="4"/>
  <c r="J4" i="4"/>
  <c r="M4" i="4" s="1"/>
  <c r="J3" i="4"/>
  <c r="M3" i="4" s="1"/>
  <c r="E4" i="4"/>
  <c r="E3" i="4"/>
  <c r="D4" i="4"/>
  <c r="D3" i="4"/>
  <c r="E2" i="4"/>
  <c r="D2" i="4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<sst xmlns="http://schemas.openxmlformats.org/spreadsheetml/2006/main" count="3592" uniqueCount="916">
  <si>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</si>
  <si>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</si>
  <si>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</si>
  <si>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</si>
  <si>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</si>
  <si>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</si>
  <si>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</si>
  <si>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</si>
  <si>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</si>
  <si>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</si>
  <si>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</si>
  <si>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</si>
  <si>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</si>
  <si>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</si>
  <si>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</si>
  <si>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</si>
  <si>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</si>
  <si>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</si>
  <si>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</si>
  <si>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</si>
  <si>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</si>
  <si>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</si>
  <si>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</si>
  <si>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</si>
  <si>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</si>
  <si>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</si>
  <si>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</si>
  <si>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</si>
  <si>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</si>
  <si>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</si>
  <si>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</si>
  <si>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</si>
  <si>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</si>
  <si>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</si>
  <si>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</si>
  <si>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</si>
  <si>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</si>
  <si>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</si>
  <si>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</si>
  <si>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</si>
  <si>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</si>
  <si>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</si>
  <si>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</si>
  <si>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</si>
  <si>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</si>
  <si>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</si>
  <si>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</si>
  <si>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</si>
  <si>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</si>
  <si>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</si>
  <si>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</si>
  <si>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</si>
  <si>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</si>
  <si>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</si>
  <si>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</si>
  <si>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</si>
  <si>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</si>
  <si>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</si>
  <si>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</si>
  <si>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</si>
  <si>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</si>
  <si>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</si>
  <si>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</si>
  <si>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</si>
  <si>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</si>
  <si>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</si>
  <si>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</si>
  <si>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</si>
  <si>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</si>
  <si>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</si>
  <si>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</si>
  <si>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</si>
  <si>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</si>
  <si>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</si>
  <si>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</si>
  <si>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</si>
  <si>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</si>
  <si>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</si>
  <si>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</si>
  <si>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</si>
  <si>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</si>
  <si>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</si>
  <si>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</si>
  <si>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</si>
  <si>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</si>
  <si>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</si>
  <si>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</si>
  <si>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</si>
  <si>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</si>
  <si>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</si>
  <si>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</si>
  <si>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</si>
  <si>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</si>
  <si>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</si>
  <si>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</si>
  <si>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</si>
  <si>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</si>
  <si>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</si>
  <si>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</si>
  <si>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</si>
  <si>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</si>
  <si>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</si>
  <si>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</si>
  <si>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</si>
  <si>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</si>
  <si>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</si>
  <si>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</si>
  <si>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</si>
  <si>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</si>
  <si>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</si>
  <si>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</si>
  <si>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</si>
  <si>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</si>
  <si>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</si>
  <si>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</si>
  <si>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</si>
  <si>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</si>
  <si>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</si>
  <si>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</si>
  <si>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</si>
  <si>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</si>
  <si>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</si>
  <si>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</si>
  <si>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</si>
  <si>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</si>
  <si>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</si>
  <si>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</si>
  <si>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</si>
  <si>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</si>
  <si>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</si>
  <si>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</si>
  <si>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</si>
  <si>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</si>
  <si>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</si>
  <si>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</si>
  <si>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</si>
  <si>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</si>
  <si>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</si>
  <si>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</si>
  <si>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</si>
  <si>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</si>
  <si>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</si>
  <si>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</si>
  <si>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</si>
  <si>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</si>
  <si>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</si>
  <si>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</si>
  <si>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</si>
  <si>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</si>
  <si>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</si>
  <si>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</si>
  <si>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</si>
  <si>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</si>
  <si>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</si>
  <si>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</si>
  <si>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</si>
  <si>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</si>
  <si>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</si>
  <si>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</si>
  <si>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</si>
  <si>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</si>
  <si>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</si>
  <si>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</si>
  <si>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</si>
  <si>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</si>
  <si>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</si>
  <si>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</si>
  <si>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</si>
  <si>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</si>
  <si>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</si>
  <si>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</si>
  <si>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</si>
  <si>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</si>
  <si>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</si>
  <si>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</si>
  <si>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</si>
  <si>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</si>
  <si>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</si>
  <si>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</si>
  <si>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</si>
  <si>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</si>
  <si>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</si>
  <si>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</si>
  <si>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</si>
  <si>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</si>
  <si>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</si>
  <si>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</si>
  <si>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</si>
  <si>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</si>
  <si>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</si>
  <si>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</si>
  <si>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</si>
  <si>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</si>
  <si>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</si>
  <si>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</si>
  <si>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</si>
  <si>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</si>
  <si>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</si>
  <si>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</si>
  <si>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</si>
  <si>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</si>
  <si>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</si>
  <si>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</si>
  <si>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</si>
  <si>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</si>
  <si>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</si>
  <si>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</si>
  <si>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</si>
  <si>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</si>
  <si>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</si>
  <si>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</si>
  <si>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</si>
  <si>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</si>
  <si>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</si>
  <si>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</si>
  <si>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</si>
  <si>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</si>
  <si>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</si>
  <si>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</si>
  <si>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</si>
  <si>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</si>
  <si>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</si>
  <si>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</si>
  <si>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</si>
  <si>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</si>
  <si>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</si>
  <si>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</si>
  <si>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</si>
  <si>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</si>
  <si>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</si>
  <si>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</si>
  <si>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</si>
  <si>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</si>
  <si>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</si>
  <si>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</si>
  <si>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</si>
  <si>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</si>
  <si>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</si>
  <si>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</si>
  <si>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</si>
  <si>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</si>
  <si>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</si>
  <si>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</si>
  <si>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</si>
  <si>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</si>
  <si>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</si>
  <si>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</si>
  <si>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</si>
  <si>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</si>
  <si>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</si>
  <si>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</si>
  <si>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</si>
  <si>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</si>
  <si>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</si>
  <si>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</si>
  <si>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</si>
  <si>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</si>
  <si>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</si>
  <si>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</si>
  <si>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</si>
  <si>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</si>
  <si>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</si>
  <si>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</si>
  <si>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</si>
  <si>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</si>
  <si>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</si>
  <si>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</si>
  <si>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</si>
  <si>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</si>
  <si>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</si>
  <si>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</si>
  <si>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</si>
  <si>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</si>
  <si>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</si>
  <si>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</si>
  <si>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</si>
  <si>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</si>
  <si>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</si>
  <si>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</si>
  <si>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</si>
  <si>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</si>
  <si>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</si>
  <si>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</si>
  <si>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</si>
  <si>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</si>
  <si>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</si>
  <si>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</si>
  <si>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</si>
  <si>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</si>
  <si>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</si>
  <si>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</si>
  <si>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</si>
  <si>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</si>
  <si>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</si>
  <si>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</si>
  <si>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</si>
  <si>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</si>
  <si>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</si>
  <si>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</si>
  <si>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</si>
  <si>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</si>
  <si>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</si>
  <si>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</si>
  <si>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</si>
  <si>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</si>
  <si>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</si>
  <si>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</si>
  <si>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</si>
  <si>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</si>
  <si>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</si>
  <si>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</si>
  <si>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</si>
  <si>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</si>
  <si>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</si>
  <si>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</si>
  <si>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</si>
  <si>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</si>
  <si>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</si>
  <si>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</si>
  <si>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</si>
  <si>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</si>
  <si>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</si>
  <si>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</si>
  <si>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</si>
  <si>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</si>
  <si>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</si>
  <si>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</si>
  <si>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</si>
  <si>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</si>
  <si>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Sarah Ng'ang'a</t>
  </si>
  <si>
    <t>Rachel njoroge</t>
  </si>
  <si>
    <t>Lydia Kamau</t>
  </si>
  <si>
    <t>Ann Mwangi</t>
  </si>
  <si>
    <t xml:space="preserve">            1/6/2026</t>
  </si>
  <si>
    <t xml:space="preserve">           1/6/2026</t>
  </si>
  <si>
    <t>James Kaboro</t>
  </si>
  <si>
    <t>Magdaline Maina</t>
  </si>
  <si>
    <t>George Waiganjo</t>
  </si>
  <si>
    <t>Charity Ndirangu</t>
  </si>
  <si>
    <t>Ann Njoroge</t>
  </si>
  <si>
    <t>Teressiah Njoroge</t>
  </si>
  <si>
    <t>Zipporah Muriithi</t>
  </si>
  <si>
    <t>Teresia Maina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</si>
  <si>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</si>
  <si>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</si>
  <si>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</si>
  <si>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</si>
  <si>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</si>
  <si>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</si>
  <si>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</si>
  <si>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</si>
  <si>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</si>
  <si>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</si>
  <si>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</si>
  <si>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</si>
  <si>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</si>
  <si>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</si>
  <si>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</si>
  <si>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</si>
  <si>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</si>
  <si>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</si>
  <si>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</si>
  <si>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</si>
  <si>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</si>
  <si>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</si>
  <si>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</si>
  <si>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</si>
  <si>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</si>
  <si>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</si>
  <si>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</si>
  <si>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</si>
  <si>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</si>
  <si>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</si>
  <si>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</si>
  <si>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</si>
  <si>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</si>
  <si>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</si>
  <si>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</si>
  <si>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</si>
  <si>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</si>
  <si>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</si>
  <si>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</si>
  <si>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</si>
  <si>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</si>
  <si>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</si>
  <si>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</si>
  <si>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</si>
  <si>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</si>
  <si>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</si>
  <si>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</si>
  <si>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</si>
  <si>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</si>
  <si>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</si>
  <si>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</si>
  <si>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</si>
  <si>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</si>
  <si>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</si>
  <si>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</si>
  <si>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</si>
  <si>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</si>
  <si>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</si>
  <si>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</si>
  <si>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</si>
  <si>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</si>
  <si>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</si>
  <si>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</si>
  <si>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</si>
  <si>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</si>
  <si>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</si>
  <si>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</si>
  <si>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</si>
  <si>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 xml:space="preserve">jane  kariuki </t>
  </si>
  <si>
    <t>6weeks</t>
  </si>
  <si>
    <t>4weeks</t>
  </si>
  <si>
    <t xml:space="preserve">ealice kimeli </t>
  </si>
  <si>
    <t xml:space="preserve">peter kimani </t>
  </si>
  <si>
    <t xml:space="preserve">rahab njambi </t>
  </si>
  <si>
    <t xml:space="preserve">lilian mwai </t>
  </si>
  <si>
    <t>4wEEKS</t>
  </si>
  <si>
    <t xml:space="preserve">catherine wanjiru </t>
  </si>
  <si>
    <t xml:space="preserve">joyce kamau </t>
  </si>
  <si>
    <t xml:space="preserve">catherine maina </t>
  </si>
  <si>
    <t xml:space="preserve">stephen sirikwa </t>
  </si>
  <si>
    <t xml:space="preserve">susan nabaru </t>
  </si>
  <si>
    <t xml:space="preserve">4weeks </t>
  </si>
  <si>
    <t xml:space="preserve">benson mwaniki </t>
  </si>
  <si>
    <t xml:space="preserve">norman macharia </t>
  </si>
  <si>
    <t>Margart Ekai</t>
  </si>
  <si>
    <t>Eunice Akoth</t>
  </si>
  <si>
    <t>Lucy Nambaiyaiye</t>
  </si>
  <si>
    <t>254717796794</t>
  </si>
  <si>
    <t>254108798026</t>
  </si>
  <si>
    <t>Beth wacera</t>
  </si>
  <si>
    <t>254721572161</t>
  </si>
  <si>
    <t>254721937013</t>
  </si>
  <si>
    <t>254719700664</t>
  </si>
  <si>
    <t>philomena Nguitu    Francis NGUITUI</t>
  </si>
  <si>
    <t>Grace Muraya</t>
  </si>
  <si>
    <t>fredrick Kihomge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</si>
  <si>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</si>
  <si>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</si>
  <si>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</si>
  <si>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</si>
  <si>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</si>
  <si>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</si>
  <si>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</si>
  <si>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</si>
  <si>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</si>
  <si>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</si>
  <si>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</si>
  <si>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</si>
  <si>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</si>
  <si>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</si>
  <si>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</si>
  <si>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</si>
  <si>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</si>
  <si>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</si>
  <si>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</si>
  <si>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</si>
  <si>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</si>
  <si>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</si>
  <si>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</si>
  <si>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</si>
  <si>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</si>
  <si>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</si>
  <si>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</si>
  <si>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</si>
  <si>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</si>
  <si>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</si>
  <si>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</si>
  <si>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</si>
  <si>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</si>
  <si>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</si>
  <si>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</si>
  <si>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</si>
  <si>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</si>
  <si>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</si>
  <si>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</si>
  <si>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</si>
  <si>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</si>
  <si>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</si>
  <si>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</si>
  <si>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</si>
  <si>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</si>
  <si>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</si>
  <si>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</si>
  <si>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</si>
  <si>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</si>
  <si>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</si>
  <si>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</si>
  <si>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PETER</t>
  </si>
  <si>
    <t>Tabitha Kibuu</t>
  </si>
  <si>
    <t>4Weeks</t>
  </si>
  <si>
    <t>Henry Maina</t>
  </si>
  <si>
    <t>Paul Thuo</t>
  </si>
  <si>
    <t>Jonathan Chemase=254&amp;705033064</t>
  </si>
  <si>
    <t>Peninah Mathenge</t>
  </si>
  <si>
    <t>Ruth Ndungu</t>
  </si>
  <si>
    <t>Jane Kuuti</t>
  </si>
  <si>
    <t>Diana Okeyo</t>
  </si>
  <si>
    <t>Sarah Waruguru</t>
  </si>
  <si>
    <t>Sa muel Maina</t>
  </si>
  <si>
    <t>Mary Kariuki</t>
  </si>
  <si>
    <t>Fridah Nairia</t>
  </si>
  <si>
    <t>Jeniffer Anana</t>
  </si>
  <si>
    <t>Monicah Amondi</t>
  </si>
  <si>
    <t>Mary Maina</t>
  </si>
  <si>
    <t>6 weeks</t>
  </si>
  <si>
    <t>Rosemary Njeri</t>
  </si>
  <si>
    <t>Joyce Nyaguthii</t>
  </si>
  <si>
    <t>David Mwangi</t>
  </si>
  <si>
    <t>Leonard kamwaru</t>
  </si>
  <si>
    <t>Alfred  Etale</t>
  </si>
  <si>
    <t xml:space="preserve"> *------</t>
  </si>
  <si>
    <t>Robinson Kariuki</t>
  </si>
  <si>
    <t>Maryann Wangui</t>
  </si>
  <si>
    <t>Catherine Wangechi=254&amp;712005347</t>
  </si>
  <si>
    <t xml:space="preserve"> John Labor</t>
  </si>
  <si>
    <t>Peris Wanjugu</t>
  </si>
  <si>
    <t>Patrick Kimani</t>
  </si>
  <si>
    <t>Diana Mathathi</t>
  </si>
  <si>
    <t>Gladys Hiuko</t>
  </si>
  <si>
    <t>Agnes Nduta</t>
  </si>
  <si>
    <t>Catherine Irungu</t>
  </si>
  <si>
    <t>Samuel Mwangi</t>
  </si>
  <si>
    <t>Anthony Wachira</t>
  </si>
  <si>
    <t>Ibrahim Kingori</t>
  </si>
  <si>
    <t>Faris Mwangi</t>
  </si>
  <si>
    <t>Susan Mwaura</t>
  </si>
  <si>
    <t>Rachel Kiambati</t>
  </si>
  <si>
    <t>David Kamau</t>
  </si>
  <si>
    <t>Bancy Njeri Waweru</t>
  </si>
  <si>
    <t>4 weeks</t>
  </si>
  <si>
    <t>Agnes Muthon KioniNana Wanjiru</t>
  </si>
  <si>
    <t>Naomi Mbuthia mu</t>
  </si>
  <si>
    <t>Peter Ndindiri</t>
  </si>
  <si>
    <t>Lucy Nyoro Nduta</t>
  </si>
  <si>
    <t>Lawrence Wanjala</t>
  </si>
  <si>
    <t>Rose Wangechi</t>
  </si>
  <si>
    <t xml:space="preserve">Charles Kirugo </t>
  </si>
  <si>
    <t>Alice Naserian</t>
  </si>
  <si>
    <t>Patricia Wacuka</t>
  </si>
  <si>
    <t>John Nderitu</t>
  </si>
  <si>
    <t>Jackline Lesemante Rabecca Echom</t>
  </si>
  <si>
    <t xml:space="preserve">Gladys Wairimu Maingikelvin kiptoo </t>
  </si>
  <si>
    <t>kelvin kiptoo</t>
  </si>
  <si>
    <t>Catherine Muchoki</t>
  </si>
  <si>
    <t>Mary kinyanjui</t>
  </si>
  <si>
    <t>Jeniffer Mukiri</t>
  </si>
  <si>
    <t>Kenneth Kuria</t>
  </si>
  <si>
    <t>Boniface Njambi</t>
  </si>
  <si>
    <t>Frida Mahiga</t>
  </si>
  <si>
    <t>Tabitha Wachira</t>
  </si>
  <si>
    <t>Jane Muthoni</t>
  </si>
  <si>
    <t>Moses Mithaga</t>
  </si>
  <si>
    <t>Esther Wanjohi</t>
  </si>
  <si>
    <t>Susyline Mukono</t>
  </si>
  <si>
    <t>Susan Modo</t>
  </si>
  <si>
    <t>6Weeks</t>
  </si>
  <si>
    <t>Naomi Bosibori</t>
  </si>
  <si>
    <t>6 Weeks</t>
  </si>
  <si>
    <t>Rosemary Maina</t>
  </si>
  <si>
    <t>Molly Mugure</t>
  </si>
  <si>
    <t xml:space="preserve">Daniel Maina </t>
  </si>
  <si>
    <t>Jane Ngata</t>
  </si>
  <si>
    <t>Charles Karari</t>
  </si>
  <si>
    <t>Cecilia Mutungili</t>
  </si>
  <si>
    <t>Susan Kiai</t>
  </si>
  <si>
    <t>Serah Chege</t>
  </si>
  <si>
    <t>Alice Ngugi</t>
  </si>
  <si>
    <t>Catherine kiruri</t>
  </si>
  <si>
    <t>Rabecca Njuguna</t>
  </si>
  <si>
    <t>Agnes Lele</t>
  </si>
  <si>
    <t>Gogfrey Mugo</t>
  </si>
  <si>
    <t>Joyce Wanjiru</t>
  </si>
  <si>
    <t>Hanah Muchemi</t>
  </si>
  <si>
    <t>Mary Macharia</t>
  </si>
  <si>
    <t>Janet Matanu</t>
  </si>
  <si>
    <t xml:space="preserve"> Susan Mburu</t>
  </si>
  <si>
    <t>Esther Kahihia</t>
  </si>
  <si>
    <t>Mary kimamo</t>
  </si>
  <si>
    <t>Diana Kajuju</t>
  </si>
  <si>
    <t>Peter Waititu</t>
  </si>
  <si>
    <t xml:space="preserve">Tabitha Njenga </t>
  </si>
  <si>
    <t>Douglas Njenga</t>
  </si>
  <si>
    <t>15/6/2026</t>
  </si>
  <si>
    <t>16/6/2026</t>
  </si>
  <si>
    <t xml:space="preserve">Hannah Kuria </t>
  </si>
  <si>
    <t>Sarah Kuria</t>
  </si>
  <si>
    <t>17/6/2026</t>
  </si>
  <si>
    <t>Ann Wangui</t>
  </si>
  <si>
    <t xml:space="preserve"> Jane Njogu</t>
  </si>
  <si>
    <t>Benson Wacihi</t>
  </si>
  <si>
    <t>Margaret Mugo</t>
  </si>
  <si>
    <t xml:space="preserve">Esther kimani </t>
  </si>
  <si>
    <t>Faith Njogu Njoki</t>
  </si>
  <si>
    <t>Fatuma Duba</t>
  </si>
  <si>
    <t>Rahab Nyambura</t>
  </si>
  <si>
    <t>Josphine Kapel</t>
  </si>
  <si>
    <t>Anne Akech Atieno</t>
  </si>
  <si>
    <t>Martha Akinyi</t>
  </si>
  <si>
    <t>Beatrice Njaramba</t>
  </si>
  <si>
    <t>Peter Njaramba</t>
  </si>
  <si>
    <t>Nancy Gatwiri</t>
  </si>
  <si>
    <t>Eunice Kendi</t>
  </si>
  <si>
    <t>18/6/2026</t>
  </si>
  <si>
    <t>Nancy Maina</t>
  </si>
  <si>
    <t>Margaret Kimani</t>
  </si>
  <si>
    <t>Geofrey Njenga</t>
  </si>
  <si>
    <t>Lucy Wachira</t>
  </si>
  <si>
    <t>Esther Nyambura</t>
  </si>
  <si>
    <t>Justus Ndungu</t>
  </si>
  <si>
    <t>Beatrice Wambugu</t>
  </si>
  <si>
    <t>Samuel Muya</t>
  </si>
  <si>
    <t>Hellen Wanjiku</t>
  </si>
  <si>
    <t>Josphine Chebet</t>
  </si>
  <si>
    <t>Hannah Kuke</t>
  </si>
  <si>
    <t>Mercy Wanjiru</t>
  </si>
  <si>
    <t>Diana Kageha</t>
  </si>
  <si>
    <t>19/6/2026</t>
  </si>
  <si>
    <t>Mercy Wangechi</t>
  </si>
  <si>
    <t>Mary Kingori</t>
  </si>
  <si>
    <t>Mary Chuma</t>
  </si>
  <si>
    <t>Duncan Maina</t>
  </si>
  <si>
    <t>Josphat Guandarua</t>
  </si>
  <si>
    <t>Simon  Mwangi</t>
  </si>
  <si>
    <t>Gladt Njeri</t>
  </si>
  <si>
    <t>Daniel Gitau</t>
  </si>
  <si>
    <t>22/6/2026</t>
  </si>
  <si>
    <t>Jeddy Wachira</t>
  </si>
  <si>
    <t>Everline   Wachira</t>
  </si>
  <si>
    <t>23/6/2026</t>
  </si>
  <si>
    <t>Magdaline Wacera</t>
  </si>
  <si>
    <t>Veronica Muchiri</t>
  </si>
  <si>
    <t>24/6/2026</t>
  </si>
  <si>
    <t>Loice Njoroge</t>
  </si>
  <si>
    <t>Grace Wairimu</t>
  </si>
  <si>
    <t>Francis Njuguna</t>
  </si>
  <si>
    <t>Mary Wanjiku</t>
  </si>
  <si>
    <t>Michael Munene</t>
  </si>
  <si>
    <t>25/6/2026</t>
  </si>
  <si>
    <t>Joyce kesses</t>
  </si>
  <si>
    <t>Annah Chelagat</t>
  </si>
  <si>
    <t>26/6/2026</t>
  </si>
  <si>
    <t>0 108817449</t>
  </si>
  <si>
    <t>Caroline Wanja</t>
  </si>
  <si>
    <t>29/6/2026</t>
  </si>
  <si>
    <t xml:space="preserve">Tabitha Muiga </t>
  </si>
  <si>
    <t>Susan Muchiri</t>
  </si>
  <si>
    <t>Lucy Gathondu</t>
  </si>
  <si>
    <t>milka wangai</t>
  </si>
  <si>
    <t>30/6/2026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</si>
  <si>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</si>
  <si>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</si>
  <si>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</si>
  <si>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</si>
  <si>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</si>
  <si>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</si>
  <si>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</si>
  <si>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</si>
  <si>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</si>
  <si>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</si>
  <si>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</si>
  <si>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</si>
  <si>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</si>
  <si>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</si>
  <si>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</si>
  <si>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</si>
  <si>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Bancy Waweru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</si>
  <si>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</si>
  <si>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</si>
  <si>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</si>
  <si>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</si>
  <si>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</si>
  <si>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</si>
  <si>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</si>
  <si>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</si>
  <si>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</si>
  <si>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</si>
  <si>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</si>
  <si>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</si>
  <si>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</si>
  <si>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</si>
  <si>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</si>
  <si>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</si>
  <si>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</si>
  <si>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</si>
  <si>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</si>
  <si>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</si>
  <si>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</si>
  <si>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</si>
  <si>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</si>
  <si>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</si>
  <si>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</si>
  <si>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</si>
  <si>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</si>
  <si>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</si>
  <si>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</si>
  <si>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</si>
  <si>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</si>
  <si>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</si>
  <si>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</si>
  <si>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</si>
  <si>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</si>
  <si>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</si>
  <si>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</si>
  <si>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</si>
  <si>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</si>
  <si>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</si>
  <si>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</si>
  <si>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</si>
  <si>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</si>
  <si>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</si>
  <si>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</si>
  <si>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</si>
  <si>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</si>
  <si>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</si>
  <si>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</si>
  <si>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</si>
  <si>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</si>
  <si>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</si>
  <si>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</si>
  <si>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</si>
  <si>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</si>
  <si>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</si>
  <si>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</si>
  <si>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</si>
  <si>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</si>
  <si>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</si>
  <si>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</si>
  <si>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</si>
  <si>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</si>
  <si>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</si>
  <si>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</si>
  <si>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</si>
  <si>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</si>
  <si>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</si>
  <si>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</si>
  <si>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</si>
  <si>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</si>
  <si>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</si>
  <si>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</si>
  <si>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</si>
  <si>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</si>
  <si>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</si>
  <si>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</si>
  <si>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</si>
  <si>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</si>
  <si>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</si>
  <si>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</si>
  <si>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</si>
  <si>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</si>
  <si>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</si>
  <si>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</si>
  <si>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</si>
  <si>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</si>
  <si>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</si>
  <si>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</si>
  <si>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</si>
  <si>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</si>
  <si>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</si>
  <si>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</si>
  <si>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</si>
  <si>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</si>
  <si>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</si>
  <si>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</si>
  <si>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</si>
  <si>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</si>
  <si>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</si>
  <si>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</si>
  <si>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</si>
  <si>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</si>
  <si>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</si>
  <si>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</si>
  <si>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</si>
  <si>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</si>
  <si>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</si>
  <si>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</si>
  <si>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</si>
  <si>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</si>
  <si>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</si>
  <si>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</si>
  <si>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</si>
  <si>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</si>
  <si>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</si>
  <si>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</si>
  <si>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</si>
  <si>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</si>
  <si>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</si>
  <si>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</si>
  <si>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</si>
  <si>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</si>
  <si>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</si>
  <si>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</si>
  <si>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</si>
  <si>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</si>
  <si>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</si>
  <si>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</si>
  <si>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</si>
  <si>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</si>
  <si>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</si>
  <si>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</si>
  <si>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</si>
  <si>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</si>
  <si>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</si>
  <si>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Jane Theuri</t>
  </si>
  <si>
    <t>Purity Gachoki</t>
  </si>
  <si>
    <t>Richard Kamau</t>
  </si>
  <si>
    <t>Tabitha Muiga</t>
  </si>
  <si>
    <t>GUARONTOR CONTACT</t>
  </si>
  <si>
    <t>REPAYMENT PERIOD</t>
  </si>
  <si>
    <t>John Nguitui</t>
  </si>
  <si>
    <t>Pierra Mwaniki</t>
  </si>
  <si>
    <t>James Manyara</t>
  </si>
  <si>
    <t>Damaris</t>
  </si>
  <si>
    <t>Milfridah Manyibe</t>
  </si>
  <si>
    <t>Anthony  Munene</t>
  </si>
  <si>
    <t>Doris Mwiti</t>
  </si>
  <si>
    <t>Daniel Ekadeli</t>
  </si>
  <si>
    <t>Paulina Isaka</t>
  </si>
  <si>
    <t>Gladys Wahito</t>
  </si>
  <si>
    <t>Mary Wambui</t>
  </si>
  <si>
    <t>Faith Nyambura</t>
  </si>
  <si>
    <t>Patricia Githinji</t>
  </si>
  <si>
    <t>Grace Waruru</t>
  </si>
  <si>
    <t>Margaret Chebet</t>
  </si>
  <si>
    <t>Charles Nganga</t>
  </si>
  <si>
    <t>Anne Akech</t>
  </si>
  <si>
    <t>Monica Njeri</t>
  </si>
  <si>
    <t>Monicah Ngige</t>
  </si>
  <si>
    <t>An Njoroge</t>
  </si>
  <si>
    <t>Teresia njoroge</t>
  </si>
  <si>
    <t>Teresiah Maina</t>
  </si>
  <si>
    <t>Tabitha Macharia</t>
  </si>
  <si>
    <t>Christine Makena</t>
  </si>
  <si>
    <t xml:space="preserve"> 6weeks</t>
  </si>
  <si>
    <t>Edwin Macharia Gaka</t>
  </si>
  <si>
    <t>Wilson Mutonga</t>
  </si>
  <si>
    <t>Rose Kamuri</t>
  </si>
  <si>
    <t xml:space="preserve"> 6 weeks </t>
  </si>
  <si>
    <t>Catherine Nduta</t>
  </si>
  <si>
    <t>Esther Mwaniki</t>
  </si>
  <si>
    <t>Serah Muthura</t>
  </si>
  <si>
    <t>Papeshwa Githinji</t>
  </si>
  <si>
    <t>Magdaline Wambui</t>
  </si>
  <si>
    <t>Racheal Mwangi</t>
  </si>
  <si>
    <t>Alice Irungu</t>
  </si>
  <si>
    <t>Peris Munene</t>
  </si>
  <si>
    <t>13/8/2026</t>
  </si>
  <si>
    <t>Keziah Ndungu</t>
  </si>
  <si>
    <t xml:space="preserve">Mary Juma </t>
  </si>
  <si>
    <t>Ellizabeth Wambui</t>
  </si>
  <si>
    <t>George Njuguna</t>
  </si>
  <si>
    <t>Peter Ndungu</t>
  </si>
  <si>
    <t>Lameck Keitany</t>
  </si>
  <si>
    <t>13/8//2026</t>
  </si>
  <si>
    <t>Martha Kariuki</t>
  </si>
  <si>
    <t>Miriam Kiragu</t>
  </si>
  <si>
    <t>Hannah Kubuku</t>
  </si>
  <si>
    <t>14/8/2026</t>
  </si>
  <si>
    <t>17/8/2026</t>
  </si>
  <si>
    <t>Selina Ekitela</t>
  </si>
  <si>
    <t>Josephine Okemwa</t>
  </si>
  <si>
    <t>17/8/2028</t>
  </si>
  <si>
    <t>18/8/2026</t>
  </si>
  <si>
    <t>Joel  Mbugua</t>
  </si>
  <si>
    <t>19/8/2026</t>
  </si>
  <si>
    <t>Jecinta Muriithi</t>
  </si>
  <si>
    <t>Valubet Nderitu</t>
  </si>
  <si>
    <t>Francis Mwangi</t>
  </si>
  <si>
    <t xml:space="preserve">6weeks </t>
  </si>
  <si>
    <t>20/8/2026</t>
  </si>
  <si>
    <t xml:space="preserve">Simon Loter </t>
  </si>
  <si>
    <t>Charles Wambugu</t>
  </si>
  <si>
    <t xml:space="preserve">Alice Wairimu </t>
  </si>
  <si>
    <t>John Mucheru</t>
  </si>
  <si>
    <t>James Njogu</t>
  </si>
  <si>
    <t>21/8/2026</t>
  </si>
  <si>
    <t>Grace Wambui</t>
  </si>
  <si>
    <t>Grace Cherotich</t>
  </si>
  <si>
    <t>24/8/2026</t>
  </si>
  <si>
    <t>Daniel Wambui</t>
  </si>
  <si>
    <t>Sabina Akope</t>
  </si>
  <si>
    <t>Jecinta Nyambura</t>
  </si>
  <si>
    <t>Mercy Njuguna</t>
  </si>
  <si>
    <t>Grace Kimatu</t>
  </si>
  <si>
    <t>Zipporah Njuki</t>
  </si>
  <si>
    <t>25/8/2026</t>
  </si>
  <si>
    <t>James Apere</t>
  </si>
  <si>
    <t>Kelvin Kimaru</t>
  </si>
  <si>
    <t>Auther Kiarie</t>
  </si>
  <si>
    <t xml:space="preserve">Samuel Macharia </t>
  </si>
  <si>
    <t>Hesbon Mwaniki</t>
  </si>
  <si>
    <t>Joseph Waithaka</t>
  </si>
  <si>
    <t>Harriet Kibuchi</t>
  </si>
  <si>
    <t>Brian Wanyama</t>
  </si>
  <si>
    <t>Lucy Nderitu</t>
  </si>
  <si>
    <t>Charity Karia</t>
  </si>
  <si>
    <t>26/8/2026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</si>
  <si>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</si>
  <si>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</si>
  <si>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</si>
  <si>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</si>
  <si>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</si>
  <si>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</si>
  <si>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</si>
  <si>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Rahab Kagema</t>
  </si>
  <si>
    <t>28/8/2026</t>
  </si>
  <si>
    <t>Beth Gichohi</t>
  </si>
  <si>
    <t>John Maingi</t>
  </si>
  <si>
    <t>Janet Koech</t>
  </si>
  <si>
    <t>Silvia Wambui</t>
  </si>
  <si>
    <t>31/8/2026</t>
  </si>
  <si>
    <t>Samuel Chege</t>
  </si>
  <si>
    <t>Veronica Nyokabi</t>
  </si>
  <si>
    <t>Joseph Wairimu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</si>
</sst>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3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4" fillId="0" borderId="1" xfId="0" applyNumberFormat="1" applyFont="1" applyBorder="1">
      <alignment vertical="center"/>
    </xf>
    <xf numFmtId="14" fontId="3" fillId="0" borderId="1" xfId="0" applyNumberFormat="1" applyFont="1" applyBorder="1" applyAlignment="1">
      <alignment horizontal="center"/>
    </xf>
    <xf numFmtId="3" fontId="4" fillId="0" borderId="1" xfId="0" applyNumberFormat="1" applyFont="1" applyBorder="1">
      <alignment vertical="center"/>
    </xf>
    <xf numFmtId="14" fontId="11" fillId="0" borderId="1" xfId="0" applyNumberFormat="1" applyFont="1" applyBorder="1" applyAlignment="1"/>
    <xf numFmtId="0" fontId="11" fillId="0" borderId="1" xfId="0" applyFont="1" applyBorder="1" applyAlignment="1"/>
    <xf numFmtId="0" fontId="11" fillId="0" borderId="1" xfId="0" quotePrefix="1" applyFont="1" applyBorder="1" applyAlignment="1"/>
    <xf numFmtId="0" fontId="4" fillId="0" borderId="1" xfId="0" quotePrefix="1" applyFont="1" applyBorder="1">
      <alignment vertical="center"/>
    </xf>
    <xf numFmtId="16" fontId="4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9" fillId="0" borderId="0" xfId="0" applyFont="1">
      <alignment vertical="center"/>
    </xf>
    <xf numFmtId="14" fontId="12" fillId="0" borderId="0" xfId="0" applyNumberFormat="1" applyFont="1">
      <alignment vertical="center"/>
    </xf>
    <xf numFmtId="0" fontId="12" fillId="0" borderId="0" xfId="0" applyFon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>
      <c r="A43" s="6"/>
      <c r="B43" s="16"/>
      <c r="C43" s="6"/>
      <c r="D43" s="6"/>
      <c r="E43" s="6"/>
    </row>
    <row r="44" spans="1:16">
      <c r="A44" s="6"/>
      <c r="B44" s="16"/>
      <c r="C44" s="6"/>
      <c r="D44" s="6"/>
      <c r="E44" s="6"/>
    </row>
    <row r="48" spans="1:16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/>
    <row r="63" spans="6:16" ht="13.5" customHeight="1"/>
    <row r="64" spans="6:16" ht="13.5" customHeight="1"/>
    <row r="560" spans="8:8">
      <c r="H560" s="15" t="s">
        <v>266</v>
      </c>
    </row>
    <row r="561" spans="8:8">
      <c r="H561" s="15" t="s">
        <v>267</v>
      </c>
    </row>
    <row r="1048576" spans="9:13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/>
  <cols>
    <col min="4" max="4" width="10.42578125" customWidth="1"/>
    <col min="8" max="10" width="0" hidden="1" customWidth="1"/>
  </cols>
  <sheetData>
    <row r="1" spans="1:16383">
      <c r="D1" s="86"/>
      <c r="E1" s="86"/>
      <c r="F1" s="86"/>
      <c r="G1" s="86"/>
      <c r="H1" s="86"/>
      <c r="I1" s="86"/>
      <c r="J1" s="86"/>
      <c r="K1" s="86"/>
      <c r="L1" s="88" t="s">
        <v>489</v>
      </c>
      <c r="M1" s="86"/>
      <c r="N1" s="88" t="s">
        <v>488</v>
      </c>
      <c r="O1" s="86"/>
      <c r="P1" s="86"/>
    </row>
    <row r="2" spans="1:16383">
      <c r="A2" s="19">
        <v>31</v>
      </c>
      <c r="B2" s="22" t="s">
        <v>240</v>
      </c>
      <c r="C2" s="19" t="s">
        <v>244</v>
      </c>
      <c r="D2" s="19" t="s">
        <v>245</v>
      </c>
      <c r="E2" s="20" t="s">
        <v>439</v>
      </c>
      <c r="F2" s="19" t="s">
        <v>440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>
      <c r="A3" s="74">
        <v>22</v>
      </c>
      <c r="B3" s="75">
        <v>46150</v>
      </c>
      <c r="C3" s="76" t="s">
        <v>57</v>
      </c>
      <c r="D3" s="76" t="s">
        <v>60</v>
      </c>
      <c r="E3" s="76" t="s">
        <v>442</v>
      </c>
      <c r="F3" s="76" t="s">
        <v>443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>
      <c r="A4" s="74">
        <v>23</v>
      </c>
      <c r="B4" s="75">
        <v>46150</v>
      </c>
      <c r="C4" s="76" t="s">
        <v>59</v>
      </c>
      <c r="D4" s="76" t="s">
        <v>137</v>
      </c>
      <c r="E4" s="76" t="s">
        <v>450</v>
      </c>
      <c r="F4" s="76" t="s">
        <v>451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>
      <c r="A5" s="74">
        <v>24</v>
      </c>
      <c r="B5" s="75">
        <v>46150</v>
      </c>
      <c r="C5" s="76" t="s">
        <v>61</v>
      </c>
      <c r="D5" s="76" t="s">
        <v>139</v>
      </c>
      <c r="E5" s="76" t="s">
        <v>452</v>
      </c>
      <c r="F5" s="76" t="s">
        <v>453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>
      <c r="A6" s="74">
        <v>25</v>
      </c>
      <c r="B6" s="75">
        <v>46150</v>
      </c>
      <c r="C6" s="76" t="s">
        <v>63</v>
      </c>
      <c r="D6" s="76" t="s">
        <v>151</v>
      </c>
      <c r="E6" s="77" t="s">
        <v>460</v>
      </c>
      <c r="F6" s="77" t="s">
        <v>461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>
      <c r="A7" s="74">
        <v>60</v>
      </c>
      <c r="B7" s="75">
        <v>46157</v>
      </c>
      <c r="C7" s="76" t="s">
        <v>117</v>
      </c>
      <c r="D7" s="76" t="s">
        <v>153</v>
      </c>
      <c r="E7" s="77" t="s">
        <v>464</v>
      </c>
      <c r="F7" s="77" t="s">
        <v>465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>
      <c r="A8" s="74">
        <v>61</v>
      </c>
      <c r="B8" s="75">
        <v>46157</v>
      </c>
      <c r="C8" s="76" t="s">
        <v>136</v>
      </c>
      <c r="D8" s="76" t="s">
        <v>60</v>
      </c>
      <c r="E8" s="76" t="s">
        <v>442</v>
      </c>
      <c r="F8" s="76" t="s">
        <v>443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>
      <c r="A9" s="74">
        <v>62</v>
      </c>
      <c r="B9" s="75">
        <v>46157</v>
      </c>
      <c r="C9" s="76" t="s">
        <v>138</v>
      </c>
      <c r="D9" s="19" t="s">
        <v>239</v>
      </c>
      <c r="E9" s="20" t="s">
        <v>476</v>
      </c>
      <c r="F9" s="19" t="s">
        <v>477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>
      <c r="A10" s="74">
        <v>63</v>
      </c>
      <c r="B10" s="75">
        <v>46157</v>
      </c>
      <c r="C10" s="76" t="s">
        <v>145</v>
      </c>
      <c r="D10" s="19" t="s">
        <v>216</v>
      </c>
      <c r="E10" s="20" t="s">
        <v>478</v>
      </c>
      <c r="F10" s="19" t="s">
        <v>479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>
      <c r="A11" s="74">
        <v>64</v>
      </c>
      <c r="B11" s="75">
        <v>46157</v>
      </c>
      <c r="C11" s="76" t="s">
        <v>149</v>
      </c>
      <c r="D11" s="74" t="s">
        <v>326</v>
      </c>
      <c r="E11" s="74" t="s">
        <v>484</v>
      </c>
      <c r="F11" s="74" t="s">
        <v>485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>
      <c r="A13" s="74">
        <v>65</v>
      </c>
      <c r="B13" s="75">
        <v>46157</v>
      </c>
      <c r="C13" s="76" t="s">
        <v>150</v>
      </c>
      <c r="D13" s="76" t="s">
        <v>58</v>
      </c>
      <c r="E13" s="76" t="s">
        <v>441</v>
      </c>
      <c r="F13" s="76" t="s">
        <v>377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>
      <c r="A14" s="74">
        <v>66</v>
      </c>
      <c r="B14" s="75">
        <v>46157</v>
      </c>
      <c r="C14" s="76" t="s">
        <v>287</v>
      </c>
      <c r="D14" s="76" t="s">
        <v>62</v>
      </c>
      <c r="E14" s="77" t="s">
        <v>444</v>
      </c>
      <c r="F14" s="76" t="s">
        <v>445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>
      <c r="A15" s="74">
        <v>67</v>
      </c>
      <c r="B15" s="75">
        <v>46157</v>
      </c>
      <c r="C15" s="76" t="s">
        <v>162</v>
      </c>
      <c r="D15" s="76" t="s">
        <v>64</v>
      </c>
      <c r="E15" s="77" t="s">
        <v>446</v>
      </c>
      <c r="F15" s="77" t="s">
        <v>447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>
      <c r="A16" s="74">
        <v>68</v>
      </c>
      <c r="B16" s="75">
        <v>46157</v>
      </c>
      <c r="C16" s="76" t="s">
        <v>152</v>
      </c>
      <c r="D16" s="76" t="s">
        <v>295</v>
      </c>
      <c r="E16" s="76" t="s">
        <v>448</v>
      </c>
      <c r="F16" s="76" t="s">
        <v>449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>
      <c r="A17" s="74">
        <v>69</v>
      </c>
      <c r="B17" s="75">
        <v>46157</v>
      </c>
      <c r="C17" s="76" t="s">
        <v>155</v>
      </c>
      <c r="D17" s="76" t="s">
        <v>148</v>
      </c>
      <c r="E17" s="77" t="s">
        <v>456</v>
      </c>
      <c r="F17" s="77" t="s">
        <v>457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>
      <c r="A18" s="74">
        <v>97</v>
      </c>
      <c r="B18" s="78">
        <v>46164</v>
      </c>
      <c r="C18" s="19" t="s">
        <v>279</v>
      </c>
      <c r="D18" s="76" t="s">
        <v>143</v>
      </c>
      <c r="E18" s="77" t="s">
        <v>458</v>
      </c>
      <c r="F18" s="77" t="s">
        <v>459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>
      <c r="A19" s="74">
        <v>98</v>
      </c>
      <c r="B19" s="79">
        <v>46164</v>
      </c>
      <c r="C19" s="76" t="s">
        <v>281</v>
      </c>
      <c r="D19" s="76" t="s">
        <v>154</v>
      </c>
      <c r="E19" s="77" t="s">
        <v>466</v>
      </c>
      <c r="F19" s="77" t="s">
        <v>467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>
      <c r="A20" s="74">
        <v>99</v>
      </c>
      <c r="B20" s="79">
        <v>46164</v>
      </c>
      <c r="C20" s="76" t="s">
        <v>283</v>
      </c>
      <c r="D20" s="76" t="s">
        <v>282</v>
      </c>
      <c r="E20" s="74" t="s">
        <v>470</v>
      </c>
      <c r="F20" s="74" t="s">
        <v>471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472</v>
      </c>
      <c r="F21" s="74" t="s">
        <v>473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>
      <c r="A22" s="74">
        <v>101</v>
      </c>
      <c r="B22" s="75">
        <v>46164</v>
      </c>
      <c r="C22" s="76" t="s">
        <v>59</v>
      </c>
      <c r="D22" s="76" t="s">
        <v>286</v>
      </c>
      <c r="E22" s="76" t="s">
        <v>474</v>
      </c>
      <c r="F22" s="76" t="s">
        <v>475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480</v>
      </c>
      <c r="F23" s="74" t="s">
        <v>481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454</v>
      </c>
      <c r="F25" s="77" t="s">
        <v>455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462</v>
      </c>
      <c r="F26" s="77" t="s">
        <v>463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468</v>
      </c>
      <c r="F27" s="19" t="s">
        <v>469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482</v>
      </c>
      <c r="F28" s="74" t="s">
        <v>483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486</v>
      </c>
      <c r="F29" s="74" t="s">
        <v>487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  <c r="L1" s="71" t="s">
        <v>405</v>
      </c>
      <c r="M1" s="71" t="s">
        <v>406</v>
      </c>
    </row>
    <row r="2" spans="1:14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>
      <c r="B1" s="71" t="s">
        <v>398</v>
      </c>
      <c r="C1" s="71" t="s">
        <v>399</v>
      </c>
      <c r="D1" s="71" t="s">
        <v>400</v>
      </c>
      <c r="E1" s="71" t="s">
        <v>401</v>
      </c>
      <c r="G1" s="71" t="s">
        <v>402</v>
      </c>
      <c r="J1" s="71" t="s">
        <v>403</v>
      </c>
      <c r="K1" s="71" t="s">
        <v>404</v>
      </c>
    </row>
    <row r="2" spans="1:13">
      <c r="A2" s="68">
        <v>2</v>
      </c>
      <c r="B2" s="69">
        <v>46149</v>
      </c>
      <c r="C2" s="70" t="s">
        <v>52</v>
      </c>
      <c r="D2" s="70" t="s">
        <v>18</v>
      </c>
      <c r="E2" s="70" t="s">
        <v>345</v>
      </c>
      <c r="F2" s="70" t="s">
        <v>346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>
      <c r="A3" s="68">
        <v>6</v>
      </c>
      <c r="B3" s="60">
        <v>46156</v>
      </c>
      <c r="C3" s="61" t="s">
        <v>116</v>
      </c>
      <c r="D3" s="61" t="s">
        <v>117</v>
      </c>
      <c r="E3" s="61" t="s">
        <v>353</v>
      </c>
      <c r="F3" s="61" t="s">
        <v>354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>
      <c r="A4" s="68">
        <v>7</v>
      </c>
      <c r="B4" s="60">
        <v>46156</v>
      </c>
      <c r="C4" s="61" t="s">
        <v>18</v>
      </c>
      <c r="D4" s="61" t="s">
        <v>118</v>
      </c>
      <c r="E4" s="61" t="s">
        <v>355</v>
      </c>
      <c r="F4" s="61" t="s">
        <v>356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>
      <c r="A5" s="68">
        <v>8</v>
      </c>
      <c r="B5" s="60">
        <v>46156</v>
      </c>
      <c r="C5" s="61" t="s">
        <v>119</v>
      </c>
      <c r="D5" s="61" t="s">
        <v>120</v>
      </c>
      <c r="E5" s="61" t="s">
        <v>357</v>
      </c>
      <c r="F5" s="61" t="s">
        <v>358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>
      <c r="A6" s="68">
        <v>9</v>
      </c>
      <c r="B6" s="60">
        <v>46156</v>
      </c>
      <c r="C6" s="61" t="s">
        <v>122</v>
      </c>
      <c r="D6" s="61" t="s">
        <v>123</v>
      </c>
      <c r="E6" s="61" t="s">
        <v>359</v>
      </c>
      <c r="F6" s="61" t="s">
        <v>360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407</v>
      </c>
      <c r="M6" s="61" t="s">
        <v>43</v>
      </c>
    </row>
    <row r="7" spans="1:13">
      <c r="A7" s="68">
        <v>10</v>
      </c>
      <c r="B7" s="60">
        <v>46156</v>
      </c>
      <c r="C7" s="61" t="s">
        <v>127</v>
      </c>
      <c r="D7" s="61" t="s">
        <v>126</v>
      </c>
      <c r="E7" s="61" t="s">
        <v>361</v>
      </c>
      <c r="F7" s="61" t="s">
        <v>362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>
      <c r="A8" s="68">
        <v>16</v>
      </c>
      <c r="B8" s="64">
        <v>46163</v>
      </c>
      <c r="C8" s="61" t="s">
        <v>190</v>
      </c>
      <c r="D8" s="61" t="s">
        <v>192</v>
      </c>
      <c r="E8" s="61" t="s">
        <v>373</v>
      </c>
      <c r="F8" s="61" t="s">
        <v>374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>
      <c r="A9" s="68">
        <v>20</v>
      </c>
      <c r="B9" s="66">
        <v>46163</v>
      </c>
      <c r="C9" s="61" t="s">
        <v>273</v>
      </c>
      <c r="D9" s="61" t="s">
        <v>276</v>
      </c>
      <c r="E9" s="61" t="s">
        <v>381</v>
      </c>
      <c r="F9" s="61" t="s">
        <v>382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408</v>
      </c>
      <c r="M9" s="61" t="s">
        <v>43</v>
      </c>
    </row>
    <row r="10" spans="1:13">
      <c r="A10" s="68">
        <v>21</v>
      </c>
      <c r="B10" s="66">
        <v>46163</v>
      </c>
      <c r="C10" s="61" t="s">
        <v>274</v>
      </c>
      <c r="D10" s="61" t="s">
        <v>275</v>
      </c>
      <c r="E10" s="61" t="s">
        <v>383</v>
      </c>
      <c r="F10" s="59" t="s">
        <v>384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408</v>
      </c>
      <c r="M10" s="61" t="s">
        <v>43</v>
      </c>
    </row>
    <row r="11" spans="1:13">
      <c r="A11" s="68">
        <v>22</v>
      </c>
      <c r="B11" s="66">
        <v>46163</v>
      </c>
      <c r="C11" s="61" t="s">
        <v>278</v>
      </c>
      <c r="D11" s="61" t="s">
        <v>277</v>
      </c>
      <c r="E11" s="61" t="s">
        <v>385</v>
      </c>
      <c r="F11" s="61" t="s">
        <v>386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408</v>
      </c>
      <c r="M11" s="61" t="s">
        <v>43</v>
      </c>
    </row>
    <row r="12" spans="1:13">
      <c r="A12" s="68">
        <v>23</v>
      </c>
      <c r="B12" s="66">
        <v>46169</v>
      </c>
      <c r="C12" s="55" t="s">
        <v>232</v>
      </c>
      <c r="D12" s="55" t="s">
        <v>233</v>
      </c>
      <c r="E12" s="56" t="s">
        <v>387</v>
      </c>
      <c r="F12" s="55" t="s">
        <v>388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408</v>
      </c>
      <c r="M12" s="59" t="s">
        <v>43</v>
      </c>
    </row>
    <row r="13" spans="1:13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389</v>
      </c>
      <c r="F13" s="55" t="s">
        <v>390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408</v>
      </c>
      <c r="M13" s="59" t="s">
        <v>43</v>
      </c>
    </row>
    <row r="14" spans="1:13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354</v>
      </c>
      <c r="F14" s="55" t="s">
        <v>397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>
      <c r="A16" s="68">
        <v>1</v>
      </c>
      <c r="B16" s="60">
        <v>46149</v>
      </c>
      <c r="C16" s="61" t="s">
        <v>50</v>
      </c>
      <c r="D16" s="61" t="s">
        <v>51</v>
      </c>
      <c r="E16" s="61" t="s">
        <v>343</v>
      </c>
      <c r="F16" s="61" t="s">
        <v>344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>
      <c r="A17" s="68">
        <v>3</v>
      </c>
      <c r="B17" s="60">
        <v>46149</v>
      </c>
      <c r="C17" s="61" t="s">
        <v>53</v>
      </c>
      <c r="D17" s="61" t="s">
        <v>54</v>
      </c>
      <c r="E17" s="62" t="s">
        <v>347</v>
      </c>
      <c r="F17" s="61" t="s">
        <v>348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>
      <c r="A18" s="68">
        <v>4</v>
      </c>
      <c r="B18" s="60">
        <v>46149</v>
      </c>
      <c r="C18" s="61" t="s">
        <v>55</v>
      </c>
      <c r="D18" s="61" t="s">
        <v>56</v>
      </c>
      <c r="E18" s="62" t="s">
        <v>349</v>
      </c>
      <c r="F18" s="62" t="s">
        <v>350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>
      <c r="A19" s="68">
        <v>5</v>
      </c>
      <c r="B19" s="60">
        <v>46156</v>
      </c>
      <c r="C19" s="63" t="s">
        <v>114</v>
      </c>
      <c r="D19" s="61" t="s">
        <v>115</v>
      </c>
      <c r="E19" s="61" t="s">
        <v>351</v>
      </c>
      <c r="F19" s="61" t="s">
        <v>352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408</v>
      </c>
      <c r="M19" s="61" t="s">
        <v>111</v>
      </c>
    </row>
    <row r="20" spans="1:13">
      <c r="A20" s="68">
        <v>11</v>
      </c>
      <c r="B20" s="60">
        <v>46156</v>
      </c>
      <c r="C20" s="61" t="s">
        <v>128</v>
      </c>
      <c r="D20" s="61" t="s">
        <v>129</v>
      </c>
      <c r="E20" s="61" t="s">
        <v>363</v>
      </c>
      <c r="F20" s="61" t="s">
        <v>364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>
      <c r="A21" s="68">
        <v>12</v>
      </c>
      <c r="B21" s="60">
        <v>46156</v>
      </c>
      <c r="C21" s="61" t="s">
        <v>131</v>
      </c>
      <c r="D21" s="61" t="s">
        <v>132</v>
      </c>
      <c r="E21" s="61" t="s">
        <v>365</v>
      </c>
      <c r="F21" s="61" t="s">
        <v>366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>
      <c r="A22" s="68">
        <v>13</v>
      </c>
      <c r="B22" s="60">
        <v>46156</v>
      </c>
      <c r="C22" s="61" t="s">
        <v>133</v>
      </c>
      <c r="D22" s="61" t="s">
        <v>134</v>
      </c>
      <c r="E22" s="61" t="s">
        <v>367</v>
      </c>
      <c r="F22" s="61" t="s">
        <v>368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>
      <c r="A23" s="68">
        <v>18</v>
      </c>
      <c r="B23" s="65">
        <v>46163</v>
      </c>
      <c r="C23" s="55" t="s">
        <v>269</v>
      </c>
      <c r="D23" s="55" t="s">
        <v>270</v>
      </c>
      <c r="E23" s="55" t="s">
        <v>377</v>
      </c>
      <c r="F23" s="55" t="s">
        <v>378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408</v>
      </c>
      <c r="M23" s="61" t="s">
        <v>17</v>
      </c>
    </row>
    <row r="24" spans="1:13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379</v>
      </c>
      <c r="F24" s="55" t="s">
        <v>380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>
      <c r="A25" s="68">
        <v>25</v>
      </c>
      <c r="B25" s="66">
        <v>46169</v>
      </c>
      <c r="C25" s="59" t="s">
        <v>306</v>
      </c>
      <c r="D25" s="59" t="s">
        <v>307</v>
      </c>
      <c r="E25" s="59" t="s">
        <v>391</v>
      </c>
      <c r="F25" s="59" t="s">
        <v>392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409</v>
      </c>
      <c r="M25" s="59" t="s">
        <v>17</v>
      </c>
    </row>
    <row r="26" spans="1:13">
      <c r="A26" s="68">
        <v>27</v>
      </c>
      <c r="B26" s="66">
        <v>46169</v>
      </c>
      <c r="C26" s="59" t="s">
        <v>310</v>
      </c>
      <c r="D26" s="59" t="s">
        <v>311</v>
      </c>
      <c r="E26" s="59" t="s">
        <v>395</v>
      </c>
      <c r="F26" s="59" t="s">
        <v>396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369</v>
      </c>
      <c r="F28" s="61" t="s">
        <v>370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410</v>
      </c>
      <c r="M28" s="61" t="s">
        <v>66</v>
      </c>
    </row>
    <row r="29" spans="1:13">
      <c r="A29" s="68">
        <v>15</v>
      </c>
      <c r="B29" s="60">
        <v>46163</v>
      </c>
      <c r="C29" s="61" t="s">
        <v>305</v>
      </c>
      <c r="D29" s="61" t="s">
        <v>189</v>
      </c>
      <c r="E29" s="61" t="s">
        <v>371</v>
      </c>
      <c r="F29" s="61" t="s">
        <v>372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408</v>
      </c>
      <c r="M29" s="61" t="s">
        <v>66</v>
      </c>
    </row>
    <row r="30" spans="1:13">
      <c r="A30" s="68">
        <v>17</v>
      </c>
      <c r="B30" s="64">
        <v>46163</v>
      </c>
      <c r="C30" s="61" t="s">
        <v>191</v>
      </c>
      <c r="D30" s="61" t="s">
        <v>193</v>
      </c>
      <c r="E30" s="61" t="s">
        <v>375</v>
      </c>
      <c r="F30" s="61" t="s">
        <v>376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>
      <c r="A31" s="68">
        <v>26</v>
      </c>
      <c r="B31" s="66">
        <v>46169</v>
      </c>
      <c r="C31" s="59" t="s">
        <v>308</v>
      </c>
      <c r="D31" s="59" t="s">
        <v>309</v>
      </c>
      <c r="E31" s="59" t="s">
        <v>393</v>
      </c>
      <c r="F31" s="59" t="s">
        <v>394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408</v>
      </c>
      <c r="M31" s="59" t="s">
        <v>66</v>
      </c>
    </row>
    <row r="32" spans="1:13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70" zoomScale="120" zoomScaleNormal="120" workbookViewId="0">
      <selection activeCell="A19" sqref="A19:O132"/>
    </sheetView>
  </sheetViews>
  <sheetFormatPr defaultRowHeight="12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5"/>
  <sheetViews>
    <sheetView zoomScale="98" zoomScaleNormal="98" workbookViewId="0">
      <selection sqref="A1:N1"/>
    </sheetView>
  </sheetViews>
  <sheetFormatPr defaultColWidth="12.140625" defaultRowHeight="12.75"/>
  <cols>
    <col min="1" max="1" width="12.140625" style="89"/>
    <col min="2" max="3" width="15" style="89" customWidth="1"/>
    <col min="4" max="5" width="13" style="89" customWidth="1"/>
    <col min="6" max="6" width="9.42578125" style="89" customWidth="1"/>
    <col min="7" max="7" width="12.140625" style="89"/>
    <col min="8" max="8" width="9.85546875" style="89" customWidth="1"/>
    <col min="9" max="9" width="9.42578125" style="89" customWidth="1"/>
    <col min="10" max="10" width="7.85546875" style="89" customWidth="1"/>
    <col min="11" max="11" width="8.85546875" style="89" customWidth="1"/>
    <col min="12" max="12" width="9.85546875" style="89" customWidth="1"/>
    <col min="13" max="13" width="9.140625" style="89" customWidth="1"/>
    <col min="14" max="16384" width="12.140625" style="89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0">
        <v>46028</v>
      </c>
      <c r="B2" s="33" t="s">
        <v>329</v>
      </c>
      <c r="C2" s="33" t="s">
        <v>330</v>
      </c>
      <c r="D2" s="33" t="str">
        <f>254&amp;724164082</f>
        <v>254724164082</v>
      </c>
      <c r="E2" s="33" t="str">
        <f>254&amp;727992553</f>
        <v>254727992553</v>
      </c>
      <c r="F2" s="33">
        <v>7000</v>
      </c>
      <c r="G2" s="33" t="s">
        <v>213</v>
      </c>
      <c r="H2" s="33">
        <v>500</v>
      </c>
      <c r="I2" s="33">
        <v>2000</v>
      </c>
      <c r="J2" s="33">
        <v>9000</v>
      </c>
      <c r="K2" s="33">
        <v>2250</v>
      </c>
      <c r="L2" s="33">
        <v>9000</v>
      </c>
      <c r="M2" s="33">
        <f>J2-L2</f>
        <v>0</v>
      </c>
      <c r="N2" s="33" t="s">
        <v>17</v>
      </c>
    </row>
    <row r="3" spans="1:14">
      <c r="A3" s="91" t="s">
        <v>333</v>
      </c>
      <c r="B3" s="6" t="s">
        <v>247</v>
      </c>
      <c r="C3" s="6" t="s">
        <v>173</v>
      </c>
      <c r="D3" s="17" t="str">
        <f>254&amp;704424647</f>
        <v>254704424647</v>
      </c>
      <c r="E3" s="6" t="str">
        <f>254&amp;711767396</f>
        <v>254711767396</v>
      </c>
      <c r="F3" s="6">
        <v>10000</v>
      </c>
      <c r="G3" s="6" t="s">
        <v>124</v>
      </c>
      <c r="H3" s="6">
        <v>500</v>
      </c>
      <c r="I3" s="6">
        <v>3000</v>
      </c>
      <c r="J3" s="18">
        <f t="shared" ref="J3:J4" si="0">F3+I3</f>
        <v>13000</v>
      </c>
      <c r="K3" s="6">
        <v>2167</v>
      </c>
      <c r="L3" s="6">
        <v>8668</v>
      </c>
      <c r="M3" s="33">
        <f t="shared" ref="M3:M6" si="1">J3-L3</f>
        <v>4332</v>
      </c>
      <c r="N3" s="33" t="s">
        <v>43</v>
      </c>
    </row>
    <row r="4" spans="1:14">
      <c r="A4" s="91" t="s">
        <v>334</v>
      </c>
      <c r="B4" s="6" t="s">
        <v>248</v>
      </c>
      <c r="C4" s="6" t="s">
        <v>249</v>
      </c>
      <c r="D4" s="17" t="str">
        <f>254&amp;799835033</f>
        <v>254799835033</v>
      </c>
      <c r="E4" s="6" t="str">
        <f>254&amp;726683825</f>
        <v>254726683825</v>
      </c>
      <c r="F4" s="6">
        <v>10000</v>
      </c>
      <c r="G4" s="6" t="s">
        <v>124</v>
      </c>
      <c r="H4" s="6">
        <v>500</v>
      </c>
      <c r="I4" s="6">
        <v>3000</v>
      </c>
      <c r="J4" s="18">
        <f t="shared" si="0"/>
        <v>13000</v>
      </c>
      <c r="K4" s="6">
        <v>2167</v>
      </c>
      <c r="L4" s="6">
        <v>8668</v>
      </c>
      <c r="M4" s="33">
        <f t="shared" si="1"/>
        <v>4332</v>
      </c>
      <c r="N4" s="33" t="s">
        <v>43</v>
      </c>
    </row>
    <row r="5" spans="1:14">
      <c r="A5" s="90">
        <v>46028</v>
      </c>
      <c r="B5" s="33" t="s">
        <v>331</v>
      </c>
      <c r="C5" s="33" t="s">
        <v>332</v>
      </c>
      <c r="D5" s="33" t="str">
        <f>254&amp;701035799</f>
        <v>254701035799</v>
      </c>
      <c r="E5" s="33" t="str">
        <f>254&amp;703322932</f>
        <v>254703322932</v>
      </c>
      <c r="F5" s="33">
        <v>10000</v>
      </c>
      <c r="G5" s="6" t="s">
        <v>213</v>
      </c>
      <c r="H5" s="33">
        <v>500</v>
      </c>
      <c r="I5" s="33">
        <v>2000</v>
      </c>
      <c r="J5" s="33">
        <v>12000</v>
      </c>
      <c r="K5" s="33">
        <v>3000</v>
      </c>
      <c r="L5" s="33">
        <v>12000</v>
      </c>
      <c r="M5" s="33">
        <f t="shared" si="1"/>
        <v>0</v>
      </c>
      <c r="N5" s="33" t="s">
        <v>66</v>
      </c>
    </row>
    <row r="6" spans="1:14" ht="15" customHeight="1">
      <c r="A6" s="90">
        <v>46028</v>
      </c>
      <c r="B6" s="33" t="s">
        <v>335</v>
      </c>
      <c r="C6" s="33" t="s">
        <v>336</v>
      </c>
      <c r="D6" s="33" t="str">
        <f>254&amp;703915750</f>
        <v>254703915750</v>
      </c>
      <c r="E6" s="33" t="str">
        <f>254&amp;720024027</f>
        <v>254720024027</v>
      </c>
      <c r="F6" s="33">
        <v>7000</v>
      </c>
      <c r="G6" s="6" t="s">
        <v>124</v>
      </c>
      <c r="H6" s="33">
        <v>500</v>
      </c>
      <c r="I6" s="33">
        <v>3000</v>
      </c>
      <c r="J6" s="33">
        <v>10000</v>
      </c>
      <c r="K6" s="33">
        <v>1667</v>
      </c>
      <c r="L6" s="33">
        <v>6668</v>
      </c>
      <c r="M6" s="33">
        <f t="shared" si="1"/>
        <v>3332</v>
      </c>
      <c r="N6" s="33" t="s">
        <v>147</v>
      </c>
    </row>
    <row r="7" spans="1:14" ht="15" customHeight="1">
      <c r="A7" s="90">
        <v>46059</v>
      </c>
      <c r="B7" s="33" t="s">
        <v>36</v>
      </c>
      <c r="C7" s="33" t="s">
        <v>37</v>
      </c>
      <c r="D7" s="33" t="str">
        <f>254&amp;710540080</f>
        <v>254710540080</v>
      </c>
      <c r="E7" s="33" t="str">
        <f>254&amp;7240666021</f>
        <v>2547240666021</v>
      </c>
      <c r="F7" s="33">
        <v>15000</v>
      </c>
      <c r="G7" s="6" t="s">
        <v>124</v>
      </c>
      <c r="H7" s="33">
        <v>500</v>
      </c>
      <c r="I7" s="33">
        <v>4500</v>
      </c>
      <c r="J7" s="33">
        <v>19500</v>
      </c>
      <c r="K7" s="33">
        <v>3250</v>
      </c>
      <c r="L7" s="33">
        <v>13000</v>
      </c>
      <c r="M7" s="33">
        <v>6500</v>
      </c>
      <c r="N7" s="33" t="s">
        <v>17</v>
      </c>
    </row>
    <row r="8" spans="1:14" ht="15" customHeight="1">
      <c r="A8" s="90">
        <v>46059</v>
      </c>
      <c r="B8" s="33" t="s">
        <v>83</v>
      </c>
      <c r="C8" s="33" t="s">
        <v>566</v>
      </c>
      <c r="D8" s="33" t="str">
        <f>254&amp;720813561</f>
        <v>254720813561</v>
      </c>
      <c r="E8" s="33" t="str">
        <f>254&amp;725426487</f>
        <v>254725426487</v>
      </c>
      <c r="F8" s="33">
        <v>15000</v>
      </c>
      <c r="G8" s="6" t="s">
        <v>124</v>
      </c>
      <c r="H8" s="33">
        <v>500</v>
      </c>
      <c r="I8" s="33">
        <v>4500</v>
      </c>
      <c r="J8" s="33">
        <v>19500</v>
      </c>
      <c r="K8" s="33">
        <v>3250</v>
      </c>
      <c r="L8" s="33">
        <v>19500</v>
      </c>
      <c r="M8" s="33">
        <v>0</v>
      </c>
      <c r="N8" s="33" t="s">
        <v>43</v>
      </c>
    </row>
    <row r="9" spans="1:14">
      <c r="A9" s="90">
        <v>46059</v>
      </c>
      <c r="B9" s="4" t="s">
        <v>157</v>
      </c>
      <c r="C9" s="4" t="s">
        <v>158</v>
      </c>
      <c r="D9" s="34" t="str">
        <f>254&amp;706439225</f>
        <v>254706439225</v>
      </c>
      <c r="E9" s="34" t="str">
        <f>254&amp;706602209</f>
        <v>254706602209</v>
      </c>
      <c r="F9" s="4">
        <v>10000</v>
      </c>
      <c r="G9" s="4" t="s">
        <v>213</v>
      </c>
      <c r="H9" s="4">
        <v>500</v>
      </c>
      <c r="I9" s="4">
        <v>2000</v>
      </c>
      <c r="J9" s="4">
        <f t="shared" ref="J9" si="2">F9+I9</f>
        <v>12000</v>
      </c>
      <c r="K9" s="4">
        <v>3000</v>
      </c>
      <c r="L9" s="4">
        <v>12000</v>
      </c>
      <c r="M9" s="33">
        <v>0</v>
      </c>
      <c r="N9" s="4" t="s">
        <v>43</v>
      </c>
    </row>
    <row r="10" spans="1:14">
      <c r="A10" s="90">
        <v>46059</v>
      </c>
      <c r="B10" s="6" t="s">
        <v>242</v>
      </c>
      <c r="C10" s="6" t="s">
        <v>243</v>
      </c>
      <c r="D10" s="17" t="str">
        <f>254&amp;746999243</f>
        <v>254746999243</v>
      </c>
      <c r="E10" s="6" t="str">
        <f>254&amp;745305142</f>
        <v>254745305142</v>
      </c>
      <c r="F10" s="6">
        <v>10000</v>
      </c>
      <c r="G10" s="6" t="s">
        <v>124</v>
      </c>
      <c r="H10" s="33">
        <v>500</v>
      </c>
      <c r="I10" s="33">
        <v>3000</v>
      </c>
      <c r="J10" s="6">
        <v>13000</v>
      </c>
      <c r="K10" s="6">
        <v>2167</v>
      </c>
      <c r="L10" s="18">
        <v>8168</v>
      </c>
      <c r="M10" s="92">
        <f>J10-L10</f>
        <v>4832</v>
      </c>
      <c r="N10" s="6" t="s">
        <v>17</v>
      </c>
    </row>
    <row r="11" spans="1:14">
      <c r="A11" s="90">
        <v>46059</v>
      </c>
      <c r="B11" s="33" t="s">
        <v>337</v>
      </c>
      <c r="C11" s="33" t="s">
        <v>338</v>
      </c>
      <c r="D11" s="33" t="str">
        <f>254&amp;711382851</f>
        <v>254711382851</v>
      </c>
      <c r="E11" s="33" t="str">
        <f>254&amp;758274400</f>
        <v>254758274400</v>
      </c>
      <c r="F11" s="33">
        <v>5000</v>
      </c>
      <c r="G11" s="33" t="s">
        <v>213</v>
      </c>
      <c r="H11" s="33">
        <v>500</v>
      </c>
      <c r="I11" s="33">
        <v>1000</v>
      </c>
      <c r="J11" s="33">
        <v>6000</v>
      </c>
      <c r="K11" s="33">
        <v>1500</v>
      </c>
      <c r="L11" s="33">
        <v>6000</v>
      </c>
      <c r="M11" s="33">
        <v>0</v>
      </c>
      <c r="N11" s="33" t="s">
        <v>17</v>
      </c>
    </row>
    <row r="12" spans="1:14">
      <c r="A12" s="90">
        <v>46059</v>
      </c>
      <c r="B12" s="33" t="s">
        <v>339</v>
      </c>
      <c r="C12" s="33" t="s">
        <v>340</v>
      </c>
      <c r="D12" s="33" t="str">
        <f>254&amp;715747806</f>
        <v>254715747806</v>
      </c>
      <c r="E12" s="33" t="str">
        <f>254&amp;798764337</f>
        <v>254798764337</v>
      </c>
      <c r="F12" s="33">
        <v>7000</v>
      </c>
      <c r="G12" s="33" t="s">
        <v>124</v>
      </c>
      <c r="H12" s="33">
        <v>500</v>
      </c>
      <c r="I12" s="33">
        <v>3000</v>
      </c>
      <c r="J12" s="33">
        <v>10000</v>
      </c>
      <c r="K12" s="33">
        <v>1667</v>
      </c>
      <c r="L12" s="33">
        <v>6668</v>
      </c>
      <c r="M12" s="33">
        <v>3332</v>
      </c>
      <c r="N12" s="33" t="s">
        <v>66</v>
      </c>
    </row>
    <row r="13" spans="1:14">
      <c r="A13" s="93">
        <v>46059</v>
      </c>
      <c r="B13" s="94" t="s">
        <v>341</v>
      </c>
      <c r="C13" s="94" t="s">
        <v>342</v>
      </c>
      <c r="D13" s="95" t="str">
        <f>254&amp;700480519</f>
        <v>254700480519</v>
      </c>
      <c r="E13" s="95" t="str">
        <f>254&amp;15873084</f>
        <v>25415873084</v>
      </c>
      <c r="F13" s="94">
        <v>7000</v>
      </c>
      <c r="G13" s="33" t="s">
        <v>124</v>
      </c>
      <c r="H13" s="94">
        <v>500</v>
      </c>
      <c r="I13" s="94">
        <v>3000</v>
      </c>
      <c r="J13" s="94">
        <v>10000</v>
      </c>
      <c r="K13" s="94">
        <v>1667</v>
      </c>
      <c r="L13" s="33">
        <v>5001</v>
      </c>
      <c r="M13" s="33">
        <v>4999</v>
      </c>
      <c r="N13" s="33" t="s">
        <v>111</v>
      </c>
    </row>
    <row r="14" spans="1:14">
      <c r="A14" s="90">
        <v>46087</v>
      </c>
      <c r="B14" s="33" t="s">
        <v>593</v>
      </c>
      <c r="C14" s="33" t="s">
        <v>411</v>
      </c>
      <c r="D14" s="96" t="s">
        <v>433</v>
      </c>
      <c r="E14" s="33">
        <v>734256765</v>
      </c>
      <c r="F14" s="33">
        <v>15000</v>
      </c>
      <c r="G14" s="33" t="s">
        <v>412</v>
      </c>
      <c r="H14" s="33">
        <v>500</v>
      </c>
      <c r="I14" s="33">
        <v>4500</v>
      </c>
      <c r="J14" s="33">
        <v>19500</v>
      </c>
      <c r="K14" s="33">
        <v>3250</v>
      </c>
      <c r="L14" s="33">
        <v>13000</v>
      </c>
      <c r="M14" s="33">
        <v>6500</v>
      </c>
      <c r="N14" s="33" t="s">
        <v>66</v>
      </c>
    </row>
    <row r="15" spans="1:14">
      <c r="A15" s="90">
        <v>46087</v>
      </c>
      <c r="B15" s="33" t="s">
        <v>39</v>
      </c>
      <c r="C15" s="33" t="s">
        <v>414</v>
      </c>
      <c r="D15" s="96" t="s">
        <v>434</v>
      </c>
      <c r="E15" s="33">
        <v>797691850</v>
      </c>
      <c r="F15" s="33">
        <v>10000</v>
      </c>
      <c r="G15" s="33" t="s">
        <v>413</v>
      </c>
      <c r="H15" s="33">
        <v>500</v>
      </c>
      <c r="I15" s="33">
        <v>2000</v>
      </c>
      <c r="J15" s="33">
        <v>12000</v>
      </c>
      <c r="K15" s="33">
        <v>3000</v>
      </c>
      <c r="L15" s="33">
        <v>6000</v>
      </c>
      <c r="M15" s="33">
        <v>0</v>
      </c>
      <c r="N15" s="33" t="s">
        <v>17</v>
      </c>
    </row>
    <row r="16" spans="1:14">
      <c r="A16" s="90">
        <v>46087</v>
      </c>
      <c r="B16" s="33" t="s">
        <v>594</v>
      </c>
      <c r="C16" s="33" t="s">
        <v>415</v>
      </c>
      <c r="D16" s="96" t="s">
        <v>435</v>
      </c>
      <c r="E16" s="33">
        <v>107748401</v>
      </c>
      <c r="F16" s="33">
        <v>7000</v>
      </c>
      <c r="G16" s="33" t="s">
        <v>412</v>
      </c>
      <c r="H16" s="33">
        <v>500</v>
      </c>
      <c r="I16" s="33">
        <v>3000</v>
      </c>
      <c r="J16" s="33">
        <v>10000</v>
      </c>
      <c r="K16" s="33">
        <v>1667</v>
      </c>
      <c r="L16" s="33">
        <v>5001</v>
      </c>
      <c r="M16" s="33">
        <v>4999</v>
      </c>
      <c r="N16" s="33" t="s">
        <v>17</v>
      </c>
    </row>
    <row r="17" spans="1:14">
      <c r="A17" s="90">
        <v>46087</v>
      </c>
      <c r="B17" s="33" t="s">
        <v>259</v>
      </c>
      <c r="C17" s="33" t="s">
        <v>416</v>
      </c>
      <c r="D17" s="33">
        <v>726683825</v>
      </c>
      <c r="E17" s="33">
        <v>753040119</v>
      </c>
      <c r="F17" s="33">
        <v>10000</v>
      </c>
      <c r="G17" s="33" t="s">
        <v>412</v>
      </c>
      <c r="H17" s="33">
        <v>500</v>
      </c>
      <c r="I17" s="33">
        <v>3000</v>
      </c>
      <c r="J17" s="33">
        <v>13000</v>
      </c>
      <c r="K17" s="33">
        <v>2167</v>
      </c>
      <c r="L17" s="33">
        <v>6501</v>
      </c>
      <c r="M17" s="33">
        <v>6499</v>
      </c>
      <c r="N17" s="33" t="s">
        <v>43</v>
      </c>
    </row>
    <row r="18" spans="1:14">
      <c r="A18" s="90">
        <v>46087</v>
      </c>
      <c r="B18" s="33" t="s">
        <v>595</v>
      </c>
      <c r="C18" s="33" t="s">
        <v>417</v>
      </c>
      <c r="D18" s="33">
        <v>710918080</v>
      </c>
      <c r="E18" s="33">
        <v>793774262</v>
      </c>
      <c r="F18" s="33">
        <v>7000</v>
      </c>
      <c r="G18" s="33" t="s">
        <v>418</v>
      </c>
      <c r="H18" s="33">
        <v>500</v>
      </c>
      <c r="I18" s="33">
        <v>3000</v>
      </c>
      <c r="J18" s="33">
        <v>10000</v>
      </c>
      <c r="K18" s="33">
        <v>1667</v>
      </c>
      <c r="L18" s="33">
        <v>5001</v>
      </c>
      <c r="M18" s="33">
        <v>4999</v>
      </c>
      <c r="N18" s="33" t="s">
        <v>17</v>
      </c>
    </row>
    <row r="19" spans="1:14">
      <c r="A19" s="90">
        <v>46087</v>
      </c>
      <c r="B19" s="33" t="s">
        <v>419</v>
      </c>
      <c r="C19" s="33" t="s">
        <v>420</v>
      </c>
      <c r="D19" s="33">
        <v>720340478</v>
      </c>
      <c r="E19" s="33">
        <v>745658943</v>
      </c>
      <c r="F19" s="33">
        <v>5000</v>
      </c>
      <c r="G19" s="33" t="s">
        <v>413</v>
      </c>
      <c r="H19" s="33">
        <v>500</v>
      </c>
      <c r="I19" s="33">
        <v>1000</v>
      </c>
      <c r="J19" s="33">
        <v>6000</v>
      </c>
      <c r="K19" s="33">
        <v>1500</v>
      </c>
      <c r="L19" s="33">
        <v>4500</v>
      </c>
      <c r="M19" s="33">
        <v>1500</v>
      </c>
      <c r="N19" s="33" t="s">
        <v>43</v>
      </c>
    </row>
    <row r="20" spans="1:14">
      <c r="A20" s="90">
        <v>46087</v>
      </c>
      <c r="B20" s="33" t="s">
        <v>71</v>
      </c>
      <c r="C20" s="33" t="s">
        <v>421</v>
      </c>
      <c r="D20" s="33">
        <v>746194202</v>
      </c>
      <c r="E20" s="33">
        <v>736819560</v>
      </c>
      <c r="F20" s="33">
        <v>5000</v>
      </c>
      <c r="G20" s="33" t="s">
        <v>412</v>
      </c>
      <c r="H20" s="33">
        <v>500</v>
      </c>
      <c r="I20" s="33">
        <v>1000</v>
      </c>
      <c r="J20" s="33">
        <v>6000</v>
      </c>
      <c r="K20" s="33">
        <v>1500</v>
      </c>
      <c r="L20" s="33">
        <v>5001</v>
      </c>
      <c r="M20" s="33">
        <v>4999</v>
      </c>
      <c r="N20" s="33" t="s">
        <v>66</v>
      </c>
    </row>
    <row r="21" spans="1:14">
      <c r="A21" s="90">
        <v>46118</v>
      </c>
      <c r="B21" s="33" t="s">
        <v>596</v>
      </c>
      <c r="C21" s="33" t="s">
        <v>422</v>
      </c>
      <c r="D21" s="33">
        <v>116140156</v>
      </c>
      <c r="E21" s="33">
        <v>798372422</v>
      </c>
      <c r="F21" s="33">
        <v>15000</v>
      </c>
      <c r="G21" s="33" t="s">
        <v>412</v>
      </c>
      <c r="H21" s="33">
        <v>500</v>
      </c>
      <c r="I21" s="33">
        <v>4500</v>
      </c>
      <c r="J21" s="33">
        <v>19500</v>
      </c>
      <c r="K21" s="33">
        <v>3250</v>
      </c>
      <c r="L21" s="33">
        <v>9750</v>
      </c>
      <c r="M21" s="33">
        <v>9750</v>
      </c>
      <c r="N21" s="33" t="s">
        <v>43</v>
      </c>
    </row>
    <row r="22" spans="1:14">
      <c r="A22" s="90">
        <v>46118</v>
      </c>
      <c r="B22" s="33" t="s">
        <v>598</v>
      </c>
      <c r="C22" s="33" t="s">
        <v>423</v>
      </c>
      <c r="D22" s="33">
        <v>142842993</v>
      </c>
      <c r="E22" s="33">
        <v>718878829</v>
      </c>
      <c r="F22" s="33">
        <v>5000</v>
      </c>
      <c r="G22" s="33" t="s">
        <v>424</v>
      </c>
      <c r="H22" s="33">
        <v>500</v>
      </c>
      <c r="I22" s="33">
        <v>1000</v>
      </c>
      <c r="J22" s="33">
        <v>6000</v>
      </c>
      <c r="K22" s="33">
        <v>1500</v>
      </c>
      <c r="L22" s="33">
        <v>6000</v>
      </c>
      <c r="M22" s="33">
        <v>0</v>
      </c>
      <c r="N22" s="33" t="s">
        <v>17</v>
      </c>
    </row>
    <row r="23" spans="1:14">
      <c r="A23" s="90">
        <v>46118</v>
      </c>
      <c r="B23" s="33" t="s">
        <v>597</v>
      </c>
      <c r="C23" s="33" t="s">
        <v>425</v>
      </c>
      <c r="D23" s="33">
        <v>711227118</v>
      </c>
      <c r="E23" s="33">
        <v>724382862</v>
      </c>
      <c r="F23" s="33">
        <v>30000</v>
      </c>
      <c r="G23" s="33" t="s">
        <v>412</v>
      </c>
      <c r="H23" s="33">
        <v>500</v>
      </c>
      <c r="I23" s="33">
        <v>10500</v>
      </c>
      <c r="J23" s="33">
        <v>40500</v>
      </c>
      <c r="K23" s="33">
        <v>6750</v>
      </c>
      <c r="L23" s="33">
        <v>20250</v>
      </c>
      <c r="M23" s="33">
        <v>20250</v>
      </c>
      <c r="N23" s="33" t="s">
        <v>17</v>
      </c>
    </row>
    <row r="24" spans="1:14">
      <c r="A24" s="90">
        <v>46118</v>
      </c>
      <c r="B24" s="33" t="s">
        <v>86</v>
      </c>
      <c r="C24" s="33" t="s">
        <v>426</v>
      </c>
      <c r="D24" s="33">
        <v>708199244</v>
      </c>
      <c r="E24" s="33">
        <v>700509057</v>
      </c>
      <c r="F24" s="33">
        <v>20000</v>
      </c>
      <c r="G24" s="33" t="s">
        <v>413</v>
      </c>
      <c r="H24" s="33">
        <v>500</v>
      </c>
      <c r="I24" s="33">
        <v>4000</v>
      </c>
      <c r="J24" s="33">
        <v>24000</v>
      </c>
      <c r="K24" s="33">
        <v>6000</v>
      </c>
      <c r="L24" s="33">
        <v>24000</v>
      </c>
      <c r="M24" s="33">
        <v>6000</v>
      </c>
      <c r="N24" s="33" t="s">
        <v>17</v>
      </c>
    </row>
    <row r="25" spans="1:14">
      <c r="A25" s="90">
        <v>46118</v>
      </c>
      <c r="B25" s="33" t="s">
        <v>427</v>
      </c>
      <c r="C25" s="33" t="s">
        <v>428</v>
      </c>
      <c r="D25" s="33">
        <v>740548417</v>
      </c>
      <c r="E25" s="33">
        <v>728108487</v>
      </c>
      <c r="F25" s="33">
        <v>5000</v>
      </c>
      <c r="G25" s="33" t="s">
        <v>413</v>
      </c>
      <c r="H25" s="33">
        <v>500</v>
      </c>
      <c r="I25" s="33">
        <v>1000</v>
      </c>
      <c r="J25" s="33">
        <f>F25+I25</f>
        <v>6000</v>
      </c>
      <c r="K25" s="33">
        <v>1500</v>
      </c>
      <c r="L25" s="33">
        <v>4500</v>
      </c>
      <c r="M25" s="33">
        <v>1500</v>
      </c>
      <c r="N25" s="33" t="s">
        <v>43</v>
      </c>
    </row>
    <row r="26" spans="1:14">
      <c r="A26" s="90">
        <v>46118</v>
      </c>
      <c r="B26" s="33" t="s">
        <v>429</v>
      </c>
      <c r="C26" s="33" t="s">
        <v>432</v>
      </c>
      <c r="D26" s="33">
        <v>720294359</v>
      </c>
      <c r="E26" s="33">
        <v>716331062</v>
      </c>
      <c r="F26" s="33">
        <v>5000</v>
      </c>
      <c r="G26" s="33" t="s">
        <v>413</v>
      </c>
      <c r="H26" s="33">
        <v>500</v>
      </c>
      <c r="I26" s="33">
        <v>1000</v>
      </c>
      <c r="J26" s="33">
        <f>F26+I26</f>
        <v>6000</v>
      </c>
      <c r="K26" s="33">
        <v>1500</v>
      </c>
      <c r="L26" s="33">
        <v>4500</v>
      </c>
      <c r="M26" s="33">
        <v>1500</v>
      </c>
      <c r="N26" s="33" t="s">
        <v>43</v>
      </c>
    </row>
    <row r="27" spans="1:14">
      <c r="A27" s="90">
        <v>46118</v>
      </c>
      <c r="B27" s="6" t="s">
        <v>536</v>
      </c>
      <c r="C27" s="6" t="s">
        <v>197</v>
      </c>
      <c r="D27" s="17" t="s">
        <v>430</v>
      </c>
      <c r="E27" s="6" t="s">
        <v>431</v>
      </c>
      <c r="F27" s="18">
        <v>10000</v>
      </c>
      <c r="G27" s="6" t="s">
        <v>124</v>
      </c>
      <c r="H27" s="33">
        <v>500</v>
      </c>
      <c r="I27" s="18">
        <v>3000</v>
      </c>
      <c r="J27" s="18">
        <v>13000</v>
      </c>
      <c r="K27" s="6">
        <v>2167</v>
      </c>
      <c r="L27" s="6">
        <v>6501</v>
      </c>
      <c r="M27" s="18">
        <v>6499</v>
      </c>
      <c r="N27" s="33" t="s">
        <v>43</v>
      </c>
    </row>
    <row r="28" spans="1:14">
      <c r="A28" s="90">
        <v>46118</v>
      </c>
      <c r="B28" s="33" t="s">
        <v>436</v>
      </c>
      <c r="C28" s="33"/>
      <c r="D28" s="33" t="str">
        <f>254&amp;718400068</f>
        <v>254718400068</v>
      </c>
      <c r="E28" s="33" t="str">
        <f>254&amp;70051009</f>
        <v>25470051009</v>
      </c>
      <c r="F28" s="18">
        <v>10000</v>
      </c>
      <c r="G28" s="6" t="s">
        <v>124</v>
      </c>
      <c r="H28" s="6">
        <v>500</v>
      </c>
      <c r="I28" s="18">
        <v>3000</v>
      </c>
      <c r="J28" s="18">
        <v>13000</v>
      </c>
      <c r="K28" s="6">
        <v>2167</v>
      </c>
      <c r="L28" s="33">
        <v>6501</v>
      </c>
      <c r="M28" s="33">
        <v>6499</v>
      </c>
      <c r="N28" s="33" t="s">
        <v>490</v>
      </c>
    </row>
    <row r="29" spans="1:14">
      <c r="A29" s="90">
        <v>46118</v>
      </c>
      <c r="B29" s="33" t="s">
        <v>437</v>
      </c>
      <c r="C29" s="33" t="s">
        <v>491</v>
      </c>
      <c r="D29" s="33" t="str">
        <f>254&amp;7011257897</f>
        <v>2547011257897</v>
      </c>
      <c r="E29" s="33" t="str">
        <f>254&amp;704781632</f>
        <v>254704781632</v>
      </c>
      <c r="F29" s="33">
        <v>5000</v>
      </c>
      <c r="G29" s="33" t="s">
        <v>492</v>
      </c>
      <c r="H29" s="33">
        <v>500</v>
      </c>
      <c r="I29" s="33">
        <v>1000</v>
      </c>
      <c r="J29" s="33">
        <v>6000</v>
      </c>
      <c r="K29" s="33">
        <v>1500</v>
      </c>
      <c r="L29" s="33">
        <v>3000</v>
      </c>
      <c r="M29" s="33">
        <v>3000</v>
      </c>
      <c r="N29" s="33" t="s">
        <v>490</v>
      </c>
    </row>
    <row r="30" spans="1:14">
      <c r="A30" s="90">
        <v>46118</v>
      </c>
      <c r="B30" s="33" t="s">
        <v>438</v>
      </c>
      <c r="C30" s="33" t="s">
        <v>493</v>
      </c>
      <c r="D30" s="33" t="str">
        <f>254&amp;794206919</f>
        <v>254794206919</v>
      </c>
      <c r="E30" s="33" t="str">
        <f>254&amp;745034146</f>
        <v>254745034146</v>
      </c>
      <c r="F30" s="33">
        <v>9000</v>
      </c>
      <c r="G30" s="33" t="s">
        <v>124</v>
      </c>
      <c r="H30" s="33">
        <v>500</v>
      </c>
      <c r="I30" s="33">
        <v>3000</v>
      </c>
      <c r="J30" s="33">
        <v>12000</v>
      </c>
      <c r="K30" s="33">
        <v>2000</v>
      </c>
      <c r="L30" s="33">
        <v>4000</v>
      </c>
      <c r="M30" s="33">
        <v>8000</v>
      </c>
      <c r="N30" s="33" t="s">
        <v>43</v>
      </c>
    </row>
    <row r="31" spans="1:14">
      <c r="A31" s="90">
        <v>46148</v>
      </c>
      <c r="B31" s="33" t="s">
        <v>494</v>
      </c>
      <c r="C31" s="33" t="s">
        <v>495</v>
      </c>
      <c r="D31" s="33" t="str">
        <f>254&amp;7050330</f>
        <v>2547050330</v>
      </c>
      <c r="E31" s="33" t="str">
        <f>254&amp;708005715</f>
        <v>254708005715</v>
      </c>
      <c r="F31" s="33">
        <v>25000</v>
      </c>
      <c r="G31" s="33" t="s">
        <v>124</v>
      </c>
      <c r="H31" s="33">
        <v>500</v>
      </c>
      <c r="I31" s="33">
        <v>9050</v>
      </c>
      <c r="J31" s="33">
        <v>34050</v>
      </c>
      <c r="K31" s="33">
        <v>5675</v>
      </c>
      <c r="L31" s="33">
        <v>17025</v>
      </c>
      <c r="M31" s="33">
        <v>17025</v>
      </c>
      <c r="N31" s="33" t="s">
        <v>17</v>
      </c>
    </row>
    <row r="32" spans="1:14">
      <c r="A32" s="90">
        <v>46148</v>
      </c>
      <c r="B32" s="33" t="s">
        <v>496</v>
      </c>
      <c r="C32" s="33" t="s">
        <v>497</v>
      </c>
      <c r="D32" s="33" t="str">
        <f>254&amp;748261697</f>
        <v>254748261697</v>
      </c>
      <c r="E32" s="33" t="str">
        <f>254&amp;792748608</f>
        <v>254792748608</v>
      </c>
      <c r="F32" s="33">
        <v>7000</v>
      </c>
      <c r="G32" s="33" t="s">
        <v>124</v>
      </c>
      <c r="H32" s="33">
        <v>500</v>
      </c>
      <c r="I32" s="33">
        <v>3000</v>
      </c>
      <c r="J32" s="33">
        <v>10000</v>
      </c>
      <c r="K32" s="33">
        <v>1667</v>
      </c>
      <c r="L32" s="33">
        <v>5001</v>
      </c>
      <c r="M32" s="33">
        <v>4999</v>
      </c>
      <c r="N32" s="33" t="s">
        <v>43</v>
      </c>
    </row>
    <row r="33" spans="1:14">
      <c r="A33" s="90">
        <v>46148</v>
      </c>
      <c r="B33" s="33" t="s">
        <v>498</v>
      </c>
      <c r="C33" s="33" t="s">
        <v>499</v>
      </c>
      <c r="D33" s="33" t="str">
        <f>254&amp;768824476</f>
        <v>254768824476</v>
      </c>
      <c r="E33" s="33" t="str">
        <f>254&amp;768094794</f>
        <v>254768094794</v>
      </c>
      <c r="F33" s="33">
        <v>7000</v>
      </c>
      <c r="G33" s="33" t="s">
        <v>124</v>
      </c>
      <c r="H33" s="33">
        <v>500</v>
      </c>
      <c r="I33" s="33">
        <v>3000</v>
      </c>
      <c r="J33" s="33">
        <v>10000</v>
      </c>
      <c r="K33" s="33">
        <v>1667</v>
      </c>
      <c r="L33" s="33">
        <v>5001</v>
      </c>
      <c r="M33" s="33">
        <v>4999</v>
      </c>
      <c r="N33" s="33" t="s">
        <v>43</v>
      </c>
    </row>
    <row r="34" spans="1:14">
      <c r="A34" s="90">
        <v>46148</v>
      </c>
      <c r="B34" s="33" t="s">
        <v>500</v>
      </c>
      <c r="C34" s="33" t="s">
        <v>501</v>
      </c>
      <c r="D34" s="33" t="str">
        <f>254&amp;715706681</f>
        <v>254715706681</v>
      </c>
      <c r="E34" s="33" t="str">
        <f>254&amp;722948117</f>
        <v>254722948117</v>
      </c>
      <c r="F34" s="33">
        <v>20000</v>
      </c>
      <c r="G34" s="33" t="s">
        <v>413</v>
      </c>
      <c r="H34" s="33">
        <v>500</v>
      </c>
      <c r="I34" s="33">
        <v>4000</v>
      </c>
      <c r="J34" s="33">
        <v>24000</v>
      </c>
      <c r="K34" s="33">
        <v>6000</v>
      </c>
      <c r="L34" s="33">
        <v>24000</v>
      </c>
      <c r="M34" s="33">
        <v>0</v>
      </c>
      <c r="N34" s="33" t="s">
        <v>17</v>
      </c>
    </row>
    <row r="35" spans="1:14">
      <c r="A35" s="90">
        <v>46148</v>
      </c>
      <c r="B35" s="33" t="s">
        <v>244</v>
      </c>
      <c r="C35" s="33" t="s">
        <v>245</v>
      </c>
      <c r="D35" s="33" t="str">
        <f>254&amp;705915891</f>
        <v>254705915891</v>
      </c>
      <c r="E35" s="33" t="str">
        <f>254&amp;7700066941</f>
        <v>2547700066941</v>
      </c>
      <c r="F35" s="33">
        <v>20000</v>
      </c>
      <c r="G35" s="33" t="s">
        <v>507</v>
      </c>
      <c r="H35" s="33">
        <v>500</v>
      </c>
      <c r="I35" s="33">
        <v>6000</v>
      </c>
      <c r="J35" s="33">
        <v>26000</v>
      </c>
      <c r="K35" s="33">
        <v>4334</v>
      </c>
      <c r="L35" s="33">
        <v>13002</v>
      </c>
      <c r="M35" s="33">
        <v>12998</v>
      </c>
      <c r="N35" s="33" t="s">
        <v>43</v>
      </c>
    </row>
    <row r="36" spans="1:14">
      <c r="A36" s="90">
        <v>46148</v>
      </c>
      <c r="B36" s="33" t="s">
        <v>65</v>
      </c>
      <c r="C36" s="33" t="s">
        <v>502</v>
      </c>
      <c r="D36" s="33" t="str">
        <f>254&amp;717622386</f>
        <v>254717622386</v>
      </c>
      <c r="E36" s="33" t="str">
        <f>254&amp;708817449</f>
        <v>254708817449</v>
      </c>
      <c r="F36" s="33">
        <v>12000</v>
      </c>
      <c r="G36" s="33" t="s">
        <v>413</v>
      </c>
      <c r="H36" s="33">
        <v>500</v>
      </c>
      <c r="I36" s="33">
        <v>2600</v>
      </c>
      <c r="J36" s="33">
        <v>12000</v>
      </c>
      <c r="K36" s="33">
        <v>3600</v>
      </c>
      <c r="L36" s="33">
        <v>12000</v>
      </c>
      <c r="M36" s="33">
        <v>0</v>
      </c>
      <c r="N36" s="33" t="s">
        <v>66</v>
      </c>
    </row>
    <row r="37" spans="1:14">
      <c r="A37" s="97">
        <v>46148</v>
      </c>
      <c r="B37" s="33" t="s">
        <v>503</v>
      </c>
      <c r="C37" s="33" t="s">
        <v>504</v>
      </c>
      <c r="D37" s="33" t="str">
        <f>254&amp;740326857</f>
        <v>254740326857</v>
      </c>
      <c r="E37" s="33" t="str">
        <f>254&amp;718825740</f>
        <v>254718825740</v>
      </c>
      <c r="F37" s="33">
        <v>7000</v>
      </c>
      <c r="G37" s="33" t="s">
        <v>124</v>
      </c>
      <c r="H37" s="33">
        <v>500</v>
      </c>
      <c r="I37" s="33">
        <v>3000</v>
      </c>
      <c r="J37" s="33">
        <v>10000</v>
      </c>
      <c r="K37" s="33">
        <v>1667</v>
      </c>
      <c r="L37" s="33">
        <v>1667</v>
      </c>
      <c r="M37" s="33">
        <v>8333</v>
      </c>
      <c r="N37" s="33" t="s">
        <v>66</v>
      </c>
    </row>
    <row r="38" spans="1:14">
      <c r="A38" s="90">
        <v>46148</v>
      </c>
      <c r="B38" s="33" t="s">
        <v>505</v>
      </c>
      <c r="C38" s="33" t="s">
        <v>506</v>
      </c>
      <c r="D38" s="33" t="str">
        <f>254&amp;711124852</f>
        <v>254711124852</v>
      </c>
      <c r="E38" s="33" t="str">
        <f>254&amp;110723989</f>
        <v>254110723989</v>
      </c>
      <c r="F38" s="33">
        <v>7000</v>
      </c>
      <c r="G38" s="33" t="s">
        <v>507</v>
      </c>
      <c r="H38" s="33">
        <v>500</v>
      </c>
      <c r="I38" s="33">
        <v>3000</v>
      </c>
      <c r="J38" s="33">
        <v>10000</v>
      </c>
      <c r="K38" s="33">
        <v>1667</v>
      </c>
      <c r="L38" s="33">
        <v>3334</v>
      </c>
      <c r="M38" s="33">
        <v>6666</v>
      </c>
      <c r="N38" s="33" t="s">
        <v>66</v>
      </c>
    </row>
    <row r="39" spans="1:14">
      <c r="A39" s="90">
        <v>46240</v>
      </c>
      <c r="B39" s="33" t="s">
        <v>26</v>
      </c>
      <c r="C39" s="33" t="s">
        <v>27</v>
      </c>
      <c r="D39" s="33" t="str">
        <f>254&amp;7153665131</f>
        <v>2547153665131</v>
      </c>
      <c r="E39" s="33" t="str">
        <f>254&amp;713543764</f>
        <v>254713543764</v>
      </c>
      <c r="F39" s="33">
        <v>10000</v>
      </c>
      <c r="G39" s="33" t="s">
        <v>507</v>
      </c>
      <c r="H39" s="33">
        <v>500</v>
      </c>
      <c r="I39" s="33">
        <v>3000</v>
      </c>
      <c r="J39" s="33">
        <v>13000</v>
      </c>
      <c r="K39" s="33">
        <v>2167</v>
      </c>
      <c r="L39" s="33">
        <v>13000</v>
      </c>
      <c r="M39" s="33">
        <v>0</v>
      </c>
      <c r="N39" s="33" t="s">
        <v>17</v>
      </c>
    </row>
    <row r="40" spans="1:14">
      <c r="A40" s="90">
        <v>46240</v>
      </c>
      <c r="B40" s="33" t="s">
        <v>14</v>
      </c>
      <c r="C40" s="33" t="s">
        <v>508</v>
      </c>
      <c r="D40" s="33" t="str">
        <f>2545&amp;724210636</f>
        <v>2545724210636</v>
      </c>
      <c r="E40" s="33" t="str">
        <f>254&amp;740471220</f>
        <v>254740471220</v>
      </c>
      <c r="F40" s="33">
        <v>10000</v>
      </c>
      <c r="G40" s="33" t="s">
        <v>124</v>
      </c>
      <c r="H40" s="33">
        <v>500</v>
      </c>
      <c r="I40" s="33">
        <v>3000</v>
      </c>
      <c r="J40" s="33">
        <v>13000</v>
      </c>
      <c r="K40" s="33">
        <v>2167</v>
      </c>
      <c r="L40" s="33">
        <v>6501</v>
      </c>
      <c r="M40" s="33">
        <v>6499</v>
      </c>
      <c r="N40" s="33" t="s">
        <v>17</v>
      </c>
    </row>
    <row r="41" spans="1:14">
      <c r="A41" s="90">
        <v>46240</v>
      </c>
      <c r="B41" s="33" t="s">
        <v>509</v>
      </c>
      <c r="C41" s="33" t="s">
        <v>510</v>
      </c>
      <c r="D41" s="33" t="str">
        <f>254&amp;711680002</f>
        <v>254711680002</v>
      </c>
      <c r="E41" s="33" t="str">
        <f>254&amp;8757069418</f>
        <v>2548757069418</v>
      </c>
      <c r="F41" s="33">
        <v>10000</v>
      </c>
      <c r="G41" s="33" t="s">
        <v>124</v>
      </c>
      <c r="H41" s="33">
        <v>500</v>
      </c>
      <c r="I41" s="33">
        <v>3000</v>
      </c>
      <c r="J41" s="33">
        <v>13000</v>
      </c>
      <c r="K41" s="33">
        <v>2167</v>
      </c>
      <c r="L41" s="33">
        <v>6501</v>
      </c>
      <c r="M41" s="33">
        <v>6499</v>
      </c>
      <c r="N41" s="33" t="s">
        <v>17</v>
      </c>
    </row>
    <row r="42" spans="1:14">
      <c r="A42" s="90">
        <v>46240</v>
      </c>
      <c r="B42" s="33" t="s">
        <v>73</v>
      </c>
      <c r="C42" s="33" t="s">
        <v>74</v>
      </c>
      <c r="D42" s="33" t="str">
        <f>254&amp;714503794</f>
        <v>254714503794</v>
      </c>
      <c r="E42" s="33" t="str">
        <f>254&amp;745128614</f>
        <v>254745128614</v>
      </c>
      <c r="F42" s="33">
        <v>7000</v>
      </c>
      <c r="G42" s="33" t="s">
        <v>124</v>
      </c>
      <c r="H42" s="33">
        <v>500</v>
      </c>
      <c r="I42" s="33">
        <v>3000</v>
      </c>
      <c r="J42" s="33">
        <v>10000</v>
      </c>
      <c r="K42" s="33">
        <v>1667</v>
      </c>
      <c r="L42" s="33">
        <v>4904</v>
      </c>
      <c r="M42" s="33">
        <v>5096</v>
      </c>
      <c r="N42" s="33" t="s">
        <v>43</v>
      </c>
    </row>
    <row r="43" spans="1:14">
      <c r="A43" s="90">
        <v>46240</v>
      </c>
      <c r="B43" s="33" t="s">
        <v>511</v>
      </c>
      <c r="C43" s="33" t="s">
        <v>512</v>
      </c>
      <c r="D43" s="33" t="str">
        <f>254&amp;23849109</f>
        <v>25423849109</v>
      </c>
      <c r="E43" s="33" t="str">
        <f>254&amp;711237285</f>
        <v>254711237285</v>
      </c>
      <c r="F43" s="33">
        <v>10000</v>
      </c>
      <c r="G43" s="33" t="s">
        <v>124</v>
      </c>
      <c r="H43" s="33">
        <v>500</v>
      </c>
      <c r="I43" s="33">
        <v>3000</v>
      </c>
      <c r="J43" s="33">
        <v>13000</v>
      </c>
      <c r="K43" s="33">
        <v>2167</v>
      </c>
      <c r="L43" s="33">
        <v>13000</v>
      </c>
      <c r="M43" s="33">
        <v>0</v>
      </c>
      <c r="N43" s="33" t="s">
        <v>43</v>
      </c>
    </row>
    <row r="44" spans="1:14">
      <c r="A44" s="90">
        <v>46271</v>
      </c>
      <c r="B44" s="33" t="s">
        <v>157</v>
      </c>
      <c r="C44" s="33" t="s">
        <v>158</v>
      </c>
      <c r="D44" s="33" t="str">
        <f>254&amp;706439225</f>
        <v>254706439225</v>
      </c>
      <c r="E44" s="33" t="str">
        <f>254&amp;706602209</f>
        <v>254706602209</v>
      </c>
      <c r="F44" s="33">
        <v>10000</v>
      </c>
      <c r="G44" s="33" t="s">
        <v>413</v>
      </c>
      <c r="H44" s="33">
        <v>500</v>
      </c>
      <c r="I44" s="33">
        <v>2000</v>
      </c>
      <c r="J44" s="33">
        <v>12000</v>
      </c>
      <c r="K44" s="33">
        <v>3000</v>
      </c>
      <c r="L44" s="33">
        <v>12000</v>
      </c>
      <c r="M44" s="33">
        <v>0</v>
      </c>
      <c r="N44" s="33" t="s">
        <v>43</v>
      </c>
    </row>
    <row r="45" spans="1:14">
      <c r="A45" s="90">
        <v>46271</v>
      </c>
      <c r="B45" s="33" t="s">
        <v>514</v>
      </c>
      <c r="C45" s="33" t="s">
        <v>515</v>
      </c>
      <c r="D45" s="33" t="str">
        <f>254&amp;790082214</f>
        <v>254790082214</v>
      </c>
      <c r="E45" s="33" t="str">
        <f>254&amp;712258783</f>
        <v>254712258783</v>
      </c>
      <c r="F45" s="33">
        <v>7000</v>
      </c>
      <c r="G45" s="33" t="s">
        <v>124</v>
      </c>
      <c r="H45" s="33">
        <v>500</v>
      </c>
      <c r="I45" s="33">
        <v>3000</v>
      </c>
      <c r="J45" s="33">
        <v>10000</v>
      </c>
      <c r="K45" s="33">
        <v>1667</v>
      </c>
      <c r="L45" s="33">
        <v>4934</v>
      </c>
      <c r="M45" s="33">
        <v>5066</v>
      </c>
      <c r="N45" s="33" t="s">
        <v>66</v>
      </c>
    </row>
    <row r="46" spans="1:14">
      <c r="A46" s="90">
        <v>46271</v>
      </c>
      <c r="B46" s="33" t="s">
        <v>76</v>
      </c>
      <c r="C46" s="33" t="s">
        <v>184</v>
      </c>
      <c r="D46" s="33" t="str">
        <f>254&amp;114732234</f>
        <v>254114732234</v>
      </c>
      <c r="E46" s="33" t="str">
        <f>254&amp;723842892</f>
        <v>254723842892</v>
      </c>
      <c r="F46" s="33">
        <v>14000</v>
      </c>
      <c r="G46" s="33" t="s">
        <v>507</v>
      </c>
      <c r="H46" s="33">
        <v>500</v>
      </c>
      <c r="I46" s="33">
        <v>4000</v>
      </c>
      <c r="J46" s="33">
        <v>18204</v>
      </c>
      <c r="K46" s="33">
        <v>3034</v>
      </c>
      <c r="L46" s="33">
        <v>9102</v>
      </c>
      <c r="M46" s="33">
        <v>9098</v>
      </c>
      <c r="N46" s="33" t="s">
        <v>17</v>
      </c>
    </row>
    <row r="47" spans="1:14">
      <c r="A47" s="90">
        <v>46271</v>
      </c>
      <c r="B47" s="33" t="s">
        <v>518</v>
      </c>
      <c r="C47" s="33" t="s">
        <v>516</v>
      </c>
      <c r="D47" s="33" t="str">
        <f>254&amp;712005347</f>
        <v>254712005347</v>
      </c>
      <c r="E47" s="33" t="str">
        <f>254&amp;758025726</f>
        <v>254758025726</v>
      </c>
      <c r="F47" s="33">
        <v>7000</v>
      </c>
      <c r="G47" s="33" t="s">
        <v>124</v>
      </c>
      <c r="H47" s="33">
        <v>500</v>
      </c>
      <c r="I47" s="33">
        <v>3000</v>
      </c>
      <c r="J47" s="33">
        <v>10000</v>
      </c>
      <c r="K47" s="33">
        <v>1667</v>
      </c>
      <c r="L47" s="33">
        <v>3032</v>
      </c>
      <c r="M47" s="33">
        <v>6664</v>
      </c>
      <c r="N47" s="33" t="s">
        <v>66</v>
      </c>
    </row>
    <row r="48" spans="1:14">
      <c r="A48" s="90">
        <v>46271</v>
      </c>
      <c r="B48" s="33" t="s">
        <v>506</v>
      </c>
      <c r="C48" s="33" t="s">
        <v>517</v>
      </c>
      <c r="D48" s="33" t="str">
        <f>254&amp;110724989</f>
        <v>254110724989</v>
      </c>
      <c r="E48" s="33" t="str">
        <f>254&amp;712416909</f>
        <v>254712416909</v>
      </c>
      <c r="F48" s="33">
        <v>7000</v>
      </c>
      <c r="G48" s="33" t="s">
        <v>412</v>
      </c>
      <c r="H48" s="33">
        <v>500</v>
      </c>
      <c r="I48" s="33">
        <v>3000</v>
      </c>
      <c r="J48" s="33">
        <v>10000</v>
      </c>
      <c r="K48" s="33">
        <v>1667</v>
      </c>
      <c r="L48" s="33">
        <v>3334</v>
      </c>
      <c r="M48" s="33">
        <v>6666</v>
      </c>
      <c r="N48" s="33" t="s">
        <v>66</v>
      </c>
    </row>
    <row r="49" spans="1:29">
      <c r="A49" s="90">
        <v>46271</v>
      </c>
      <c r="B49" s="33" t="s">
        <v>519</v>
      </c>
      <c r="C49" s="33" t="s">
        <v>520</v>
      </c>
      <c r="D49" s="33" t="str">
        <f>254&amp;726706952</f>
        <v>254726706952</v>
      </c>
      <c r="E49" s="33" t="str">
        <f>254&amp;716611899</f>
        <v>254716611899</v>
      </c>
      <c r="F49" s="33">
        <v>7000</v>
      </c>
      <c r="G49" s="33" t="s">
        <v>492</v>
      </c>
      <c r="H49" s="33">
        <v>500</v>
      </c>
      <c r="I49" s="33">
        <v>3000</v>
      </c>
      <c r="J49" s="33">
        <v>10000</v>
      </c>
      <c r="K49" s="33">
        <v>3000</v>
      </c>
      <c r="L49" s="33">
        <v>6000</v>
      </c>
      <c r="M49" s="33">
        <v>6000</v>
      </c>
      <c r="N49" s="33" t="s">
        <v>66</v>
      </c>
    </row>
    <row r="50" spans="1:29">
      <c r="A50" s="90">
        <v>46271</v>
      </c>
      <c r="B50" s="33" t="s">
        <v>521</v>
      </c>
      <c r="C50" s="33" t="s">
        <v>522</v>
      </c>
      <c r="D50" s="33" t="str">
        <f>254&amp;715709400</f>
        <v>254715709400</v>
      </c>
      <c r="E50" s="33" t="str">
        <f>254&amp;713101470</f>
        <v>254713101470</v>
      </c>
      <c r="F50" s="33">
        <v>7000</v>
      </c>
      <c r="G50" s="33" t="s">
        <v>412</v>
      </c>
      <c r="H50" s="33">
        <v>500</v>
      </c>
      <c r="I50" s="33">
        <v>3000</v>
      </c>
      <c r="J50" s="33">
        <v>10000</v>
      </c>
      <c r="K50" s="33">
        <v>1667</v>
      </c>
      <c r="L50" s="33">
        <v>6234</v>
      </c>
      <c r="M50" s="33">
        <v>3766</v>
      </c>
      <c r="N50" s="33" t="s">
        <v>43</v>
      </c>
    </row>
    <row r="51" spans="1:29">
      <c r="A51" s="90">
        <v>46271</v>
      </c>
      <c r="B51" s="33" t="s">
        <v>277</v>
      </c>
      <c r="C51" s="33" t="s">
        <v>523</v>
      </c>
      <c r="D51" s="33" t="str">
        <f>254&amp;792049781</f>
        <v>254792049781</v>
      </c>
      <c r="E51" s="33" t="str">
        <f>254&amp;728587387</f>
        <v>254728587387</v>
      </c>
      <c r="F51" s="33">
        <v>7000</v>
      </c>
      <c r="G51" s="33" t="s">
        <v>124</v>
      </c>
      <c r="H51" s="33">
        <v>500</v>
      </c>
      <c r="I51" s="33">
        <v>3000</v>
      </c>
      <c r="J51" s="33">
        <v>10000</v>
      </c>
      <c r="K51" s="33">
        <v>1667</v>
      </c>
      <c r="L51" s="33">
        <v>3334</v>
      </c>
      <c r="M51" s="33">
        <v>6666</v>
      </c>
      <c r="N51" s="33" t="s">
        <v>43</v>
      </c>
    </row>
    <row r="52" spans="1:29">
      <c r="A52" s="90">
        <v>46271</v>
      </c>
      <c r="B52" s="33" t="s">
        <v>524</v>
      </c>
      <c r="C52" s="33" t="s">
        <v>515</v>
      </c>
      <c r="D52" s="33" t="str">
        <f>254&amp;741687879</f>
        <v>254741687879</v>
      </c>
      <c r="E52" s="33" t="str">
        <f>254&amp;793965045</f>
        <v>254793965045</v>
      </c>
      <c r="F52" s="33">
        <v>10000</v>
      </c>
      <c r="G52" s="33" t="s">
        <v>124</v>
      </c>
      <c r="H52" s="33">
        <v>500</v>
      </c>
      <c r="I52" s="33">
        <v>3000</v>
      </c>
      <c r="J52" s="33">
        <v>13000</v>
      </c>
      <c r="K52" s="33">
        <v>2167</v>
      </c>
      <c r="L52" s="33">
        <v>6501</v>
      </c>
      <c r="M52" s="33">
        <v>6499</v>
      </c>
      <c r="N52" s="33" t="s">
        <v>17</v>
      </c>
    </row>
    <row r="53" spans="1:29">
      <c r="A53" s="90">
        <v>46271</v>
      </c>
      <c r="B53" s="33" t="s">
        <v>525</v>
      </c>
      <c r="C53" s="33" t="s">
        <v>526</v>
      </c>
      <c r="D53" s="33" t="str">
        <f>254&amp;714076538</f>
        <v>254714076538</v>
      </c>
      <c r="E53" s="33" t="str">
        <f>254&amp;798654955</f>
        <v>254798654955</v>
      </c>
      <c r="F53" s="33">
        <v>10000</v>
      </c>
      <c r="G53" s="33" t="s">
        <v>413</v>
      </c>
      <c r="H53" s="33">
        <v>500</v>
      </c>
      <c r="I53" s="33">
        <v>2000</v>
      </c>
      <c r="J53" s="33">
        <v>12000</v>
      </c>
      <c r="K53" s="33">
        <v>3000</v>
      </c>
      <c r="L53" s="33">
        <v>12000</v>
      </c>
      <c r="M53" s="33">
        <v>0</v>
      </c>
      <c r="N53" s="33" t="s">
        <v>17</v>
      </c>
    </row>
    <row r="54" spans="1:29">
      <c r="A54" s="90">
        <v>46271</v>
      </c>
      <c r="B54" s="33" t="s">
        <v>156</v>
      </c>
      <c r="C54" s="33" t="s">
        <v>527</v>
      </c>
      <c r="D54" s="33" t="str">
        <f>254&amp;727698567</f>
        <v>254727698567</v>
      </c>
      <c r="E54" s="33" t="str">
        <f>254&amp;719306554</f>
        <v>254719306554</v>
      </c>
      <c r="F54" s="33">
        <v>18000</v>
      </c>
      <c r="G54" s="33" t="s">
        <v>413</v>
      </c>
      <c r="H54" s="33">
        <v>500</v>
      </c>
      <c r="I54" s="33">
        <v>3600</v>
      </c>
      <c r="J54" s="33">
        <v>21600</v>
      </c>
      <c r="K54" s="33">
        <v>5400</v>
      </c>
      <c r="L54" s="33">
        <v>16200</v>
      </c>
      <c r="M54" s="33">
        <v>5400</v>
      </c>
      <c r="N54" s="33" t="s">
        <v>17</v>
      </c>
    </row>
    <row r="55" spans="1:29">
      <c r="A55" s="90">
        <v>46271</v>
      </c>
      <c r="B55" s="33" t="s">
        <v>528</v>
      </c>
      <c r="C55" s="33" t="s">
        <v>529</v>
      </c>
      <c r="D55" s="33" t="str">
        <f>254&amp;724350985</f>
        <v>254724350985</v>
      </c>
      <c r="E55" s="33" t="str">
        <f>254&amp;796102762</f>
        <v>254796102762</v>
      </c>
      <c r="F55" s="33">
        <v>12000</v>
      </c>
      <c r="G55" s="33" t="s">
        <v>124</v>
      </c>
      <c r="H55" s="33">
        <v>500</v>
      </c>
      <c r="I55" s="33">
        <v>3600</v>
      </c>
      <c r="J55" s="33">
        <v>15600</v>
      </c>
      <c r="K55" s="33">
        <v>2600</v>
      </c>
      <c r="L55" s="33">
        <v>15600</v>
      </c>
      <c r="M55" s="33">
        <v>0</v>
      </c>
      <c r="N55" s="33" t="s">
        <v>66</v>
      </c>
    </row>
    <row r="56" spans="1:29">
      <c r="A56" s="90">
        <v>46301</v>
      </c>
      <c r="B56" s="33" t="s">
        <v>308</v>
      </c>
      <c r="C56" s="33" t="s">
        <v>530</v>
      </c>
      <c r="D56" s="33" t="str">
        <f>254&amp;748485559</f>
        <v>254748485559</v>
      </c>
      <c r="E56" s="33" t="str">
        <f>254&amp;791470552</f>
        <v>254791470552</v>
      </c>
      <c r="F56" s="33">
        <v>7000</v>
      </c>
      <c r="G56" s="33" t="s">
        <v>124</v>
      </c>
      <c r="H56" s="33">
        <v>500</v>
      </c>
      <c r="I56" s="33">
        <v>3000</v>
      </c>
      <c r="J56" s="33">
        <v>10000</v>
      </c>
      <c r="K56" s="33">
        <v>1667</v>
      </c>
      <c r="L56" s="33">
        <v>5001</v>
      </c>
      <c r="M56" s="33">
        <v>4999</v>
      </c>
      <c r="N56" s="33" t="s">
        <v>66</v>
      </c>
    </row>
    <row r="57" spans="1:29">
      <c r="A57" s="90">
        <v>46301</v>
      </c>
      <c r="B57" s="33" t="s">
        <v>531</v>
      </c>
      <c r="C57" s="33" t="s">
        <v>113</v>
      </c>
      <c r="D57" s="33" t="str">
        <f>254&amp;711973607</f>
        <v>254711973607</v>
      </c>
      <c r="E57" s="33" t="str">
        <f>254&amp;742103835</f>
        <v>254742103835</v>
      </c>
      <c r="F57" s="33">
        <v>20000</v>
      </c>
      <c r="G57" s="33" t="s">
        <v>532</v>
      </c>
      <c r="H57" s="33">
        <v>500</v>
      </c>
      <c r="I57" s="33">
        <v>4000</v>
      </c>
      <c r="J57" s="33">
        <v>24000</v>
      </c>
      <c r="K57" s="33">
        <v>6000</v>
      </c>
      <c r="L57" s="33">
        <v>12000</v>
      </c>
      <c r="M57" s="33">
        <v>12000</v>
      </c>
      <c r="N57" s="33" t="s">
        <v>43</v>
      </c>
    </row>
    <row r="58" spans="1:29">
      <c r="A58" s="90">
        <v>46301</v>
      </c>
      <c r="B58" s="33" t="s">
        <v>533</v>
      </c>
      <c r="C58" s="33"/>
      <c r="D58" s="33" t="str">
        <f>254&amp;769694106</f>
        <v>254769694106</v>
      </c>
      <c r="E58" s="33" t="str">
        <f>254&amp;769228244</f>
        <v>254769228244</v>
      </c>
      <c r="F58" s="33">
        <v>10000</v>
      </c>
      <c r="G58" s="33" t="s">
        <v>413</v>
      </c>
      <c r="H58" s="33">
        <v>500</v>
      </c>
      <c r="I58" s="33">
        <v>2000</v>
      </c>
      <c r="J58" s="33">
        <v>12000</v>
      </c>
      <c r="K58" s="33">
        <v>3000</v>
      </c>
      <c r="L58" s="33">
        <v>6000</v>
      </c>
      <c r="M58" s="33">
        <v>6000</v>
      </c>
      <c r="N58" s="33" t="s">
        <v>17</v>
      </c>
    </row>
    <row r="59" spans="1:29">
      <c r="A59" s="90">
        <v>46301</v>
      </c>
      <c r="B59" s="33" t="s">
        <v>534</v>
      </c>
      <c r="C59" s="33" t="s">
        <v>535</v>
      </c>
      <c r="D59" s="33" t="str">
        <f>254&amp;790058345</f>
        <v>254790058345</v>
      </c>
      <c r="E59" s="33" t="str">
        <f>254&amp;111510789</f>
        <v>254111510789</v>
      </c>
      <c r="F59" s="33">
        <v>8000</v>
      </c>
      <c r="G59" s="33" t="s">
        <v>532</v>
      </c>
      <c r="H59" s="33">
        <v>500</v>
      </c>
      <c r="I59" s="33">
        <v>2000</v>
      </c>
      <c r="J59" s="33">
        <v>10000</v>
      </c>
      <c r="K59" s="33">
        <v>2500</v>
      </c>
      <c r="L59" s="33">
        <v>5000</v>
      </c>
      <c r="M59" s="33">
        <v>5000</v>
      </c>
      <c r="N59" s="33" t="s">
        <v>17</v>
      </c>
    </row>
    <row r="60" spans="1:29">
      <c r="A60" s="90">
        <v>46301</v>
      </c>
      <c r="B60" s="33" t="s">
        <v>537</v>
      </c>
      <c r="C60" s="33" t="s">
        <v>538</v>
      </c>
      <c r="D60" s="33" t="str">
        <f>254&amp;701728665</f>
        <v>254701728665</v>
      </c>
      <c r="E60" s="33" t="str">
        <f>254&amp;714901793</f>
        <v>254714901793</v>
      </c>
      <c r="F60" s="33">
        <v>7000</v>
      </c>
      <c r="G60" s="33" t="s">
        <v>507</v>
      </c>
      <c r="H60" s="33">
        <v>500</v>
      </c>
      <c r="I60" s="33">
        <v>3000</v>
      </c>
      <c r="J60" s="33">
        <v>10000</v>
      </c>
      <c r="K60" s="33">
        <v>1667</v>
      </c>
      <c r="L60" s="33">
        <v>3334</v>
      </c>
      <c r="M60" s="33">
        <v>6666</v>
      </c>
      <c r="N60" s="33" t="s">
        <v>17</v>
      </c>
    </row>
    <row r="61" spans="1:29">
      <c r="A61" s="90">
        <v>46332</v>
      </c>
      <c r="B61" s="33" t="s">
        <v>639</v>
      </c>
      <c r="C61" s="33" t="s">
        <v>539</v>
      </c>
      <c r="D61" s="33" t="str">
        <f>254&amp;7729823193</f>
        <v>2547729823193</v>
      </c>
      <c r="E61" s="33" t="str">
        <f>254&amp;717720111</f>
        <v>254717720111</v>
      </c>
      <c r="F61" s="33">
        <v>30000</v>
      </c>
      <c r="G61" s="33" t="s">
        <v>412</v>
      </c>
      <c r="H61" s="33">
        <v>500</v>
      </c>
      <c r="I61" s="33">
        <v>10500</v>
      </c>
      <c r="J61" s="33">
        <v>40500</v>
      </c>
      <c r="K61" s="33">
        <v>6750</v>
      </c>
      <c r="L61" s="33">
        <v>13500</v>
      </c>
      <c r="M61" s="33">
        <v>16500</v>
      </c>
      <c r="N61" s="33" t="s">
        <v>17</v>
      </c>
    </row>
    <row r="62" spans="1:29">
      <c r="A62" s="90">
        <v>46332</v>
      </c>
      <c r="B62" s="33" t="s">
        <v>540</v>
      </c>
      <c r="C62" s="33" t="s">
        <v>541</v>
      </c>
      <c r="D62" s="33" t="str">
        <f>254&amp;758991413</f>
        <v>254758991413</v>
      </c>
      <c r="E62" s="33" t="str">
        <f>254&amp;752560980</f>
        <v>254752560980</v>
      </c>
      <c r="F62" s="33">
        <v>9000</v>
      </c>
      <c r="G62" s="33" t="s">
        <v>507</v>
      </c>
      <c r="H62" s="33">
        <v>500</v>
      </c>
      <c r="I62" s="33">
        <v>3000</v>
      </c>
      <c r="J62" s="33">
        <v>12000</v>
      </c>
      <c r="K62" s="33">
        <v>2000</v>
      </c>
      <c r="L62" s="33">
        <v>4000</v>
      </c>
      <c r="M62" s="33">
        <v>8000</v>
      </c>
      <c r="N62" s="33" t="s">
        <v>17</v>
      </c>
    </row>
    <row r="63" spans="1:29">
      <c r="A63" s="90">
        <v>46332</v>
      </c>
      <c r="B63" s="33" t="s">
        <v>122</v>
      </c>
      <c r="C63" s="33" t="s">
        <v>542</v>
      </c>
      <c r="D63" s="33" t="str">
        <f>254&amp;746811444</f>
        <v>254746811444</v>
      </c>
      <c r="E63" s="33" t="str">
        <f>254&amp;704825688</f>
        <v>254704825688</v>
      </c>
      <c r="F63" s="33">
        <v>7000</v>
      </c>
      <c r="G63" s="33" t="s">
        <v>412</v>
      </c>
      <c r="H63" s="33">
        <v>500</v>
      </c>
      <c r="I63" s="33">
        <v>3000</v>
      </c>
      <c r="J63" s="33">
        <v>10000</v>
      </c>
      <c r="K63" s="33">
        <v>1667</v>
      </c>
      <c r="L63" s="33">
        <v>3334</v>
      </c>
      <c r="M63" s="33">
        <v>6666</v>
      </c>
      <c r="N63" s="33" t="s">
        <v>43</v>
      </c>
    </row>
    <row r="64" spans="1:29">
      <c r="A64" s="90">
        <v>46332</v>
      </c>
      <c r="B64" s="33" t="s">
        <v>564</v>
      </c>
      <c r="C64" s="33" t="s">
        <v>565</v>
      </c>
      <c r="D64" s="33" t="str">
        <f>254&amp;743647697</f>
        <v>254743647697</v>
      </c>
      <c r="E64" s="33" t="str">
        <f>254&amp;741796731</f>
        <v>254741796731</v>
      </c>
      <c r="F64" s="33">
        <v>5000</v>
      </c>
      <c r="G64" s="33" t="s">
        <v>412</v>
      </c>
      <c r="H64" s="33">
        <v>500</v>
      </c>
      <c r="I64" s="33">
        <v>1000</v>
      </c>
      <c r="J64" s="33">
        <v>6000</v>
      </c>
      <c r="K64" s="33">
        <v>1500</v>
      </c>
      <c r="L64" s="33">
        <v>3000</v>
      </c>
      <c r="M64" s="33">
        <v>3000</v>
      </c>
      <c r="N64" s="33" t="s">
        <v>66</v>
      </c>
      <c r="AC64" s="89" t="s">
        <v>513</v>
      </c>
    </row>
    <row r="65" spans="1:14">
      <c r="A65" s="90">
        <v>46332</v>
      </c>
      <c r="B65" s="33" t="s">
        <v>543</v>
      </c>
      <c r="C65" s="33"/>
      <c r="D65" s="33" t="str">
        <f>254&amp;118525881</f>
        <v>254118525881</v>
      </c>
      <c r="E65" s="33" t="str">
        <f>254&amp;794400120</f>
        <v>254794400120</v>
      </c>
      <c r="F65" s="33">
        <v>7000</v>
      </c>
      <c r="G65" s="33" t="s">
        <v>532</v>
      </c>
      <c r="H65" s="33">
        <v>500</v>
      </c>
      <c r="I65" s="33">
        <v>2000</v>
      </c>
      <c r="J65" s="33">
        <v>9000</v>
      </c>
      <c r="K65" s="33">
        <v>2250</v>
      </c>
      <c r="L65" s="33">
        <v>4500</v>
      </c>
      <c r="M65" s="33">
        <v>4500</v>
      </c>
      <c r="N65" s="33" t="s">
        <v>66</v>
      </c>
    </row>
    <row r="66" spans="1:14">
      <c r="A66" s="90">
        <v>46332</v>
      </c>
      <c r="B66" s="33" t="s">
        <v>544</v>
      </c>
      <c r="C66" s="33" t="s">
        <v>545</v>
      </c>
      <c r="D66" s="33" t="str">
        <f>254&amp;728225297</f>
        <v>254728225297</v>
      </c>
      <c r="E66" s="33" t="str">
        <f>254&amp;719545318</f>
        <v>254719545318</v>
      </c>
      <c r="F66" s="33">
        <v>7000</v>
      </c>
      <c r="G66" s="33" t="s">
        <v>412</v>
      </c>
      <c r="H66" s="33">
        <v>500</v>
      </c>
      <c r="I66" s="33">
        <v>3000</v>
      </c>
      <c r="J66" s="33">
        <v>10000</v>
      </c>
      <c r="K66" s="33">
        <v>1667</v>
      </c>
      <c r="L66" s="33">
        <v>3334</v>
      </c>
      <c r="M66" s="33">
        <v>6666</v>
      </c>
      <c r="N66" s="33" t="s">
        <v>43</v>
      </c>
    </row>
    <row r="67" spans="1:14">
      <c r="A67" s="90">
        <v>46332</v>
      </c>
      <c r="B67" s="33" t="s">
        <v>546</v>
      </c>
      <c r="C67" s="33" t="s">
        <v>547</v>
      </c>
      <c r="D67" s="33" t="str">
        <f>254&amp;792612031</f>
        <v>254792612031</v>
      </c>
      <c r="E67" s="33" t="str">
        <f>254&amp;716523140</f>
        <v>254716523140</v>
      </c>
      <c r="F67" s="33">
        <v>7000</v>
      </c>
      <c r="G67" s="33" t="s">
        <v>412</v>
      </c>
      <c r="H67" s="33">
        <v>500</v>
      </c>
      <c r="I67" s="33">
        <v>3000</v>
      </c>
      <c r="J67" s="33">
        <v>10000</v>
      </c>
      <c r="K67" s="33">
        <v>1667</v>
      </c>
      <c r="L67" s="33">
        <v>3334</v>
      </c>
      <c r="M67" s="33">
        <v>6666</v>
      </c>
      <c r="N67" s="33" t="s">
        <v>43</v>
      </c>
    </row>
    <row r="68" spans="1:14">
      <c r="A68" s="90">
        <v>46332</v>
      </c>
      <c r="B68" s="33" t="s">
        <v>548</v>
      </c>
      <c r="C68" s="33" t="s">
        <v>549</v>
      </c>
      <c r="D68" s="33" t="str">
        <f>254&amp;725709459</f>
        <v>254725709459</v>
      </c>
      <c r="E68" s="33" t="str">
        <f>254&amp;722416830</f>
        <v>254722416830</v>
      </c>
      <c r="F68" s="33">
        <v>7000</v>
      </c>
      <c r="G68" s="33" t="s">
        <v>412</v>
      </c>
      <c r="H68" s="33">
        <v>500</v>
      </c>
      <c r="I68" s="33">
        <v>3000</v>
      </c>
      <c r="J68" s="33">
        <v>10000</v>
      </c>
      <c r="K68" s="33">
        <v>1667</v>
      </c>
      <c r="L68" s="33">
        <v>3334</v>
      </c>
      <c r="M68" s="33">
        <v>6666</v>
      </c>
      <c r="N68" s="33" t="s">
        <v>75</v>
      </c>
    </row>
    <row r="69" spans="1:14">
      <c r="A69" s="90">
        <v>46362</v>
      </c>
      <c r="B69" s="33" t="s">
        <v>567</v>
      </c>
      <c r="C69" s="33" t="s">
        <v>550</v>
      </c>
      <c r="D69" s="33" t="str">
        <f>254&amp;727368599</f>
        <v>254727368599</v>
      </c>
      <c r="E69" s="33" t="str">
        <f>254&amp;714398204</f>
        <v>254714398204</v>
      </c>
      <c r="F69" s="33">
        <v>7000</v>
      </c>
      <c r="G69" s="33" t="s">
        <v>412</v>
      </c>
      <c r="H69" s="33">
        <v>500</v>
      </c>
      <c r="I69" s="33">
        <v>3000</v>
      </c>
      <c r="J69" s="33">
        <v>10000</v>
      </c>
      <c r="K69" s="33">
        <v>1667</v>
      </c>
      <c r="L69" s="33">
        <v>3334</v>
      </c>
      <c r="M69" s="33">
        <v>6666</v>
      </c>
      <c r="N69" s="33" t="s">
        <v>43</v>
      </c>
    </row>
    <row r="70" spans="1:14">
      <c r="A70" s="90">
        <v>46362</v>
      </c>
      <c r="B70" s="33" t="s">
        <v>555</v>
      </c>
      <c r="C70" s="33" t="s">
        <v>551</v>
      </c>
      <c r="D70" s="33" t="str">
        <f>254&amp;759831343</f>
        <v>254759831343</v>
      </c>
      <c r="E70" s="33" t="str">
        <f>254&amp;722715234</f>
        <v>254722715234</v>
      </c>
      <c r="F70" s="33">
        <v>7000</v>
      </c>
      <c r="G70" s="33" t="s">
        <v>412</v>
      </c>
      <c r="H70" s="33">
        <v>500</v>
      </c>
      <c r="I70" s="33">
        <v>3000</v>
      </c>
      <c r="J70" s="33">
        <v>10000</v>
      </c>
      <c r="K70" s="33">
        <v>1667</v>
      </c>
      <c r="L70" s="33">
        <v>1667</v>
      </c>
      <c r="M70" s="33">
        <v>8333</v>
      </c>
      <c r="N70" s="33" t="s">
        <v>43</v>
      </c>
    </row>
    <row r="71" spans="1:14">
      <c r="A71" s="90">
        <v>46362</v>
      </c>
      <c r="B71" s="33" t="s">
        <v>552</v>
      </c>
      <c r="C71" s="33" t="s">
        <v>553</v>
      </c>
      <c r="D71" s="33" t="str">
        <f>254&amp;704825688</f>
        <v>254704825688</v>
      </c>
      <c r="E71" s="33" t="str">
        <f>254&amp;726890467</f>
        <v>254726890467</v>
      </c>
      <c r="F71" s="33">
        <v>7000</v>
      </c>
      <c r="G71" s="33" t="s">
        <v>507</v>
      </c>
      <c r="H71" s="33">
        <v>500</v>
      </c>
      <c r="I71" s="33">
        <v>3000</v>
      </c>
      <c r="J71" s="33">
        <v>10000</v>
      </c>
      <c r="K71" s="33">
        <v>1667</v>
      </c>
      <c r="L71" s="33">
        <v>3334</v>
      </c>
      <c r="M71" s="33">
        <v>6666</v>
      </c>
      <c r="N71" s="33" t="s">
        <v>43</v>
      </c>
    </row>
    <row r="72" spans="1:14">
      <c r="A72" s="90">
        <v>46362</v>
      </c>
      <c r="B72" s="33" t="s">
        <v>101</v>
      </c>
      <c r="C72" s="33" t="s">
        <v>554</v>
      </c>
      <c r="D72" s="33" t="str">
        <f>254&amp;706607577</f>
        <v>254706607577</v>
      </c>
      <c r="E72" s="33" t="str">
        <f>254&amp;743458451</f>
        <v>254743458451</v>
      </c>
      <c r="F72" s="33">
        <v>10000</v>
      </c>
      <c r="G72" s="33" t="s">
        <v>412</v>
      </c>
      <c r="H72" s="33">
        <v>500</v>
      </c>
      <c r="I72" s="33">
        <v>3000</v>
      </c>
      <c r="J72" s="33">
        <v>13000</v>
      </c>
      <c r="K72" s="33">
        <v>2167</v>
      </c>
      <c r="L72" s="33">
        <v>4334</v>
      </c>
      <c r="M72" s="33">
        <v>8666</v>
      </c>
      <c r="N72" s="33" t="s">
        <v>43</v>
      </c>
    </row>
    <row r="73" spans="1:14">
      <c r="A73" s="90">
        <v>46362</v>
      </c>
      <c r="B73" s="33" t="s">
        <v>181</v>
      </c>
      <c r="C73" s="33" t="s">
        <v>182</v>
      </c>
      <c r="D73" s="33" t="str">
        <f>254&amp;729518016</f>
        <v>254729518016</v>
      </c>
      <c r="E73" s="33" t="str">
        <f>254&amp;711063122</f>
        <v>254711063122</v>
      </c>
      <c r="F73" s="33">
        <v>5000</v>
      </c>
      <c r="G73" s="33" t="s">
        <v>413</v>
      </c>
      <c r="H73" s="33">
        <v>500</v>
      </c>
      <c r="I73" s="33">
        <v>1000</v>
      </c>
      <c r="J73" s="33">
        <v>6000</v>
      </c>
      <c r="K73" s="33">
        <v>1500</v>
      </c>
      <c r="L73" s="33">
        <v>5000</v>
      </c>
      <c r="M73" s="33">
        <v>1000</v>
      </c>
      <c r="N73" s="33" t="s">
        <v>66</v>
      </c>
    </row>
    <row r="74" spans="1:14">
      <c r="A74" s="90">
        <v>46362</v>
      </c>
      <c r="B74" s="33" t="s">
        <v>556</v>
      </c>
      <c r="C74" s="33" t="s">
        <v>117</v>
      </c>
      <c r="D74" s="33" t="str">
        <f>254&amp;723495587</f>
        <v>254723495587</v>
      </c>
      <c r="E74" s="33" t="str">
        <f>254&amp;729417206</f>
        <v>254729417206</v>
      </c>
      <c r="F74" s="33">
        <v>15000</v>
      </c>
      <c r="G74" s="33" t="s">
        <v>124</v>
      </c>
      <c r="H74" s="33">
        <v>500</v>
      </c>
      <c r="I74" s="33">
        <v>4500</v>
      </c>
      <c r="J74" s="33">
        <v>19500</v>
      </c>
      <c r="K74" s="33">
        <v>3250</v>
      </c>
      <c r="L74" s="33">
        <v>9350</v>
      </c>
      <c r="M74" s="33">
        <v>10150</v>
      </c>
      <c r="N74" s="33" t="s">
        <v>43</v>
      </c>
    </row>
    <row r="75" spans="1:14">
      <c r="A75" s="90">
        <v>46362</v>
      </c>
      <c r="B75" s="33" t="s">
        <v>557</v>
      </c>
      <c r="C75" s="33" t="s">
        <v>276</v>
      </c>
      <c r="D75" s="33" t="str">
        <f>254&amp;721991675</f>
        <v>254721991675</v>
      </c>
      <c r="E75" s="33" t="str">
        <f>254&amp;716331062</f>
        <v>254716331062</v>
      </c>
      <c r="F75" s="33">
        <v>7000</v>
      </c>
      <c r="G75" s="33" t="s">
        <v>558</v>
      </c>
      <c r="H75" s="33">
        <v>500</v>
      </c>
      <c r="I75" s="33">
        <v>3000</v>
      </c>
      <c r="J75" s="33">
        <v>10000</v>
      </c>
      <c r="K75" s="33">
        <v>1667</v>
      </c>
      <c r="L75" s="33">
        <v>3334</v>
      </c>
      <c r="M75" s="33">
        <v>6666</v>
      </c>
      <c r="N75" s="33" t="s">
        <v>43</v>
      </c>
    </row>
    <row r="76" spans="1:14">
      <c r="A76" s="90">
        <v>46362</v>
      </c>
      <c r="B76" s="33" t="s">
        <v>185</v>
      </c>
      <c r="C76" s="33" t="s">
        <v>186</v>
      </c>
      <c r="D76" s="33" t="str">
        <f>254&amp;723858169</f>
        <v>254723858169</v>
      </c>
      <c r="E76" s="33" t="str">
        <f>254&amp;703286633</f>
        <v>254703286633</v>
      </c>
      <c r="F76" s="33">
        <v>7000</v>
      </c>
      <c r="G76" s="33" t="s">
        <v>413</v>
      </c>
      <c r="H76" s="33">
        <v>500</v>
      </c>
      <c r="I76" s="33">
        <v>3000</v>
      </c>
      <c r="J76" s="33">
        <v>9000</v>
      </c>
      <c r="K76" s="33">
        <v>2250</v>
      </c>
      <c r="L76" s="33">
        <v>3800</v>
      </c>
      <c r="M76" s="33">
        <v>6200</v>
      </c>
      <c r="N76" s="33" t="s">
        <v>43</v>
      </c>
    </row>
    <row r="77" spans="1:14">
      <c r="A77" s="90">
        <v>46362</v>
      </c>
      <c r="B77" s="33" t="s">
        <v>61</v>
      </c>
      <c r="C77" s="33" t="s">
        <v>559</v>
      </c>
      <c r="D77" s="33" t="str">
        <f>254&amp;705304253</f>
        <v>254705304253</v>
      </c>
      <c r="E77" s="33" t="str">
        <f>254&amp;706841567</f>
        <v>254706841567</v>
      </c>
      <c r="F77" s="33">
        <v>9000</v>
      </c>
      <c r="G77" s="33" t="s">
        <v>560</v>
      </c>
      <c r="H77" s="33">
        <v>500</v>
      </c>
      <c r="I77" s="33">
        <v>3000</v>
      </c>
      <c r="J77" s="33">
        <v>12000</v>
      </c>
      <c r="K77" s="33">
        <v>2000</v>
      </c>
      <c r="L77" s="33">
        <v>4000</v>
      </c>
      <c r="M77" s="33">
        <v>8000</v>
      </c>
      <c r="N77" s="33" t="s">
        <v>17</v>
      </c>
    </row>
    <row r="78" spans="1:14">
      <c r="A78" s="90">
        <v>46362</v>
      </c>
      <c r="B78" s="33" t="s">
        <v>561</v>
      </c>
      <c r="C78" s="33" t="s">
        <v>562</v>
      </c>
      <c r="D78" s="33" t="str">
        <f>254&amp;724153150</f>
        <v>254724153150</v>
      </c>
      <c r="E78" s="33" t="str">
        <f>254&amp;721815920</f>
        <v>254721815920</v>
      </c>
      <c r="F78" s="33">
        <v>10000</v>
      </c>
      <c r="G78" s="33" t="s">
        <v>558</v>
      </c>
      <c r="H78" s="33">
        <v>500</v>
      </c>
      <c r="I78" s="33">
        <v>3000</v>
      </c>
      <c r="J78" s="33">
        <v>13000</v>
      </c>
      <c r="K78" s="33">
        <v>2167</v>
      </c>
      <c r="L78" s="33">
        <v>3967</v>
      </c>
      <c r="M78" s="33">
        <v>9033</v>
      </c>
      <c r="N78" s="33" t="s">
        <v>17</v>
      </c>
    </row>
    <row r="79" spans="1:14">
      <c r="A79" s="90">
        <v>46362</v>
      </c>
      <c r="B79" s="33" t="s">
        <v>136</v>
      </c>
      <c r="C79" s="33" t="s">
        <v>563</v>
      </c>
      <c r="D79" s="33" t="str">
        <f>254&amp;7153905575</f>
        <v>2547153905575</v>
      </c>
      <c r="E79" s="33" t="str">
        <f>254&amp;759859581</f>
        <v>254759859581</v>
      </c>
      <c r="F79" s="33">
        <v>10000</v>
      </c>
      <c r="G79" s="33" t="s">
        <v>507</v>
      </c>
      <c r="H79" s="33">
        <v>500</v>
      </c>
      <c r="I79" s="33">
        <v>3000</v>
      </c>
      <c r="J79" s="33">
        <v>13000</v>
      </c>
      <c r="K79" s="33">
        <v>2167</v>
      </c>
      <c r="L79" s="33">
        <v>4334</v>
      </c>
      <c r="M79" s="33">
        <v>8666</v>
      </c>
      <c r="N79" s="33" t="s">
        <v>43</v>
      </c>
    </row>
    <row r="80" spans="1:14">
      <c r="A80" s="90">
        <v>46362</v>
      </c>
      <c r="B80" s="33" t="s">
        <v>652</v>
      </c>
      <c r="C80" s="33" t="s">
        <v>653</v>
      </c>
      <c r="D80" s="33" t="str">
        <f>254&amp;795157747</f>
        <v>254795157747</v>
      </c>
      <c r="E80" s="33" t="str">
        <f>254&amp;757630137</f>
        <v>254757630137</v>
      </c>
      <c r="F80" s="33">
        <v>7000</v>
      </c>
      <c r="G80" s="33" t="s">
        <v>412</v>
      </c>
      <c r="H80" s="33">
        <v>500</v>
      </c>
      <c r="I80" s="33">
        <v>3000</v>
      </c>
      <c r="J80" s="33">
        <v>10000</v>
      </c>
      <c r="K80" s="33">
        <v>1667</v>
      </c>
      <c r="L80" s="33">
        <v>3334</v>
      </c>
      <c r="M80" s="33">
        <v>6666</v>
      </c>
      <c r="N80" s="33" t="s">
        <v>66</v>
      </c>
    </row>
    <row r="81" spans="1:14">
      <c r="A81" s="90">
        <v>46362</v>
      </c>
      <c r="B81" s="33" t="s">
        <v>97</v>
      </c>
      <c r="C81" s="33" t="s">
        <v>258</v>
      </c>
      <c r="D81" s="33" t="str">
        <f>254&amp;714359854</f>
        <v>254714359854</v>
      </c>
      <c r="E81" s="33" t="str">
        <f>254&amp;751778506</f>
        <v>254751778506</v>
      </c>
      <c r="F81" s="33">
        <v>25000</v>
      </c>
      <c r="G81" s="33" t="s">
        <v>560</v>
      </c>
      <c r="H81" s="33">
        <v>500</v>
      </c>
      <c r="I81" s="33">
        <v>9050</v>
      </c>
      <c r="J81" s="33">
        <v>34050</v>
      </c>
      <c r="K81" s="33">
        <v>5675</v>
      </c>
      <c r="L81" s="33">
        <v>11350</v>
      </c>
      <c r="M81" s="33">
        <v>22700</v>
      </c>
      <c r="N81" s="33" t="s">
        <v>43</v>
      </c>
    </row>
    <row r="82" spans="1:14">
      <c r="A82" s="33" t="s">
        <v>585</v>
      </c>
      <c r="B82" s="33" t="s">
        <v>69</v>
      </c>
      <c r="C82" s="33" t="s">
        <v>568</v>
      </c>
      <c r="D82" s="33" t="str">
        <f>254&amp;727877025</f>
        <v>254727877025</v>
      </c>
      <c r="E82" s="33" t="str">
        <f>2545&amp;726297808</f>
        <v>2545726297808</v>
      </c>
      <c r="F82" s="33">
        <v>7000</v>
      </c>
      <c r="G82" s="33" t="s">
        <v>412</v>
      </c>
      <c r="H82" s="33">
        <v>500</v>
      </c>
      <c r="I82" s="33">
        <v>3000</v>
      </c>
      <c r="J82" s="33">
        <v>10000</v>
      </c>
      <c r="K82" s="33">
        <v>1667</v>
      </c>
      <c r="L82" s="33">
        <v>2257</v>
      </c>
      <c r="M82" s="33">
        <v>7743</v>
      </c>
      <c r="N82" s="33" t="s">
        <v>43</v>
      </c>
    </row>
    <row r="83" spans="1:14">
      <c r="A83" s="33" t="s">
        <v>585</v>
      </c>
      <c r="B83" s="33" t="s">
        <v>569</v>
      </c>
      <c r="C83" s="33" t="s">
        <v>82</v>
      </c>
      <c r="D83" s="33" t="str">
        <f>254&amp;729144308</f>
        <v>254729144308</v>
      </c>
      <c r="E83" s="33" t="str">
        <f>254&amp;700570661</f>
        <v>254700570661</v>
      </c>
      <c r="F83" s="33">
        <v>12000</v>
      </c>
      <c r="G83" s="33" t="s">
        <v>507</v>
      </c>
      <c r="H83" s="33">
        <v>500</v>
      </c>
      <c r="I83" s="33">
        <v>3600</v>
      </c>
      <c r="J83" s="33">
        <v>15600</v>
      </c>
      <c r="K83" s="33">
        <v>2600</v>
      </c>
      <c r="L83" s="33">
        <v>5200</v>
      </c>
      <c r="M83" s="33">
        <v>10400</v>
      </c>
      <c r="N83" s="33" t="s">
        <v>43</v>
      </c>
    </row>
    <row r="84" spans="1:14">
      <c r="A84" s="33" t="s">
        <v>585</v>
      </c>
      <c r="B84" s="33" t="s">
        <v>287</v>
      </c>
      <c r="C84" s="33" t="s">
        <v>570</v>
      </c>
      <c r="D84" s="33" t="str">
        <f>254&amp;721994091</f>
        <v>254721994091</v>
      </c>
      <c r="E84" s="33" t="str">
        <f>254&amp;715747740</f>
        <v>254715747740</v>
      </c>
      <c r="F84" s="33">
        <v>8000</v>
      </c>
      <c r="G84" s="33" t="s">
        <v>412</v>
      </c>
      <c r="H84" s="33">
        <v>500</v>
      </c>
      <c r="I84" s="33">
        <v>3000</v>
      </c>
      <c r="J84" s="33">
        <v>11004</v>
      </c>
      <c r="K84" s="33">
        <v>1834</v>
      </c>
      <c r="L84" s="33">
        <v>3668</v>
      </c>
      <c r="M84" s="33">
        <v>7332</v>
      </c>
      <c r="N84" s="33" t="s">
        <v>43</v>
      </c>
    </row>
    <row r="85" spans="1:14">
      <c r="A85" s="33" t="s">
        <v>585</v>
      </c>
      <c r="B85" s="33" t="s">
        <v>153</v>
      </c>
      <c r="C85" s="33" t="s">
        <v>571</v>
      </c>
      <c r="D85" s="33" t="str">
        <f>254&amp;724544938</f>
        <v>254724544938</v>
      </c>
      <c r="E85" s="33" t="str">
        <f>254&amp;740441273</f>
        <v>254740441273</v>
      </c>
      <c r="F85" s="33">
        <v>8000</v>
      </c>
      <c r="G85" s="33" t="s">
        <v>507</v>
      </c>
      <c r="H85" s="33">
        <v>500</v>
      </c>
      <c r="I85" s="33">
        <v>3000</v>
      </c>
      <c r="J85" s="33">
        <v>11000</v>
      </c>
      <c r="K85" s="33">
        <v>1834</v>
      </c>
      <c r="L85" s="33">
        <v>3668</v>
      </c>
      <c r="M85" s="33">
        <v>7332</v>
      </c>
      <c r="N85" s="33" t="s">
        <v>43</v>
      </c>
    </row>
    <row r="86" spans="1:14">
      <c r="A86" s="33" t="s">
        <v>585</v>
      </c>
      <c r="B86" s="33" t="s">
        <v>127</v>
      </c>
      <c r="C86" s="33" t="s">
        <v>572</v>
      </c>
      <c r="D86" s="33" t="str">
        <f>254&amp;724024611</f>
        <v>254724024611</v>
      </c>
      <c r="E86" s="33" t="str">
        <f>254&amp;795493127</f>
        <v>254795493127</v>
      </c>
      <c r="F86" s="33">
        <v>10000</v>
      </c>
      <c r="G86" s="33" t="s">
        <v>558</v>
      </c>
      <c r="H86" s="33">
        <v>500</v>
      </c>
      <c r="I86" s="33">
        <v>3000</v>
      </c>
      <c r="J86" s="33">
        <v>13000</v>
      </c>
      <c r="K86" s="33">
        <v>2167</v>
      </c>
      <c r="L86" s="33">
        <v>4334</v>
      </c>
      <c r="M86" s="33">
        <v>8666</v>
      </c>
      <c r="N86" s="33" t="s">
        <v>43</v>
      </c>
    </row>
    <row r="87" spans="1:14">
      <c r="A87" s="33" t="s">
        <v>585</v>
      </c>
      <c r="B87" s="33" t="s">
        <v>573</v>
      </c>
      <c r="C87" s="33" t="s">
        <v>27</v>
      </c>
      <c r="D87" s="33" t="str">
        <f>254&amp;715365131</f>
        <v>254715365131</v>
      </c>
      <c r="E87" s="33" t="str">
        <f>254&amp;713543764</f>
        <v>254713543764</v>
      </c>
      <c r="F87" s="33">
        <v>10000</v>
      </c>
      <c r="G87" s="33" t="s">
        <v>412</v>
      </c>
      <c r="H87" s="33">
        <v>500</v>
      </c>
      <c r="I87" s="33">
        <v>3000</v>
      </c>
      <c r="J87" s="33">
        <v>13000</v>
      </c>
      <c r="K87" s="33">
        <v>2167</v>
      </c>
      <c r="L87" s="33">
        <v>4334</v>
      </c>
      <c r="M87" s="33">
        <v>8666</v>
      </c>
      <c r="N87" s="33" t="s">
        <v>17</v>
      </c>
    </row>
    <row r="88" spans="1:14">
      <c r="A88" s="33" t="s">
        <v>585</v>
      </c>
      <c r="B88" s="33" t="s">
        <v>574</v>
      </c>
      <c r="C88" s="33" t="s">
        <v>295</v>
      </c>
      <c r="D88" s="33" t="str">
        <f>254&amp;700934013</f>
        <v>254700934013</v>
      </c>
      <c r="E88" s="33" t="str">
        <f>254&amp;796819892</f>
        <v>254796819892</v>
      </c>
      <c r="F88" s="33">
        <v>10000</v>
      </c>
      <c r="G88" s="33" t="s">
        <v>532</v>
      </c>
      <c r="H88" s="33">
        <v>500</v>
      </c>
      <c r="I88" s="33">
        <v>2000</v>
      </c>
      <c r="J88" s="33">
        <v>12000</v>
      </c>
      <c r="K88" s="33">
        <v>3000</v>
      </c>
      <c r="L88" s="33">
        <v>6000</v>
      </c>
      <c r="M88" s="33">
        <v>6000</v>
      </c>
      <c r="N88" s="33" t="s">
        <v>17</v>
      </c>
    </row>
    <row r="89" spans="1:14">
      <c r="A89" s="33" t="s">
        <v>585</v>
      </c>
      <c r="B89" s="33" t="s">
        <v>59</v>
      </c>
      <c r="C89" s="33" t="s">
        <v>575</v>
      </c>
      <c r="D89" s="33" t="str">
        <f>254&amp;769573260</f>
        <v>254769573260</v>
      </c>
      <c r="E89" s="33" t="str">
        <f>254&amp;702653933</f>
        <v>254702653933</v>
      </c>
      <c r="F89" s="33">
        <v>10000</v>
      </c>
      <c r="G89" s="33" t="s">
        <v>532</v>
      </c>
      <c r="H89" s="33">
        <v>500</v>
      </c>
      <c r="I89" s="33">
        <v>2000</v>
      </c>
      <c r="J89" s="33">
        <v>12000</v>
      </c>
      <c r="K89" s="33">
        <v>3000</v>
      </c>
      <c r="L89" s="33">
        <v>6000</v>
      </c>
      <c r="M89" s="33">
        <v>6000</v>
      </c>
      <c r="N89" s="33" t="s">
        <v>43</v>
      </c>
    </row>
    <row r="90" spans="1:14">
      <c r="A90" s="33" t="s">
        <v>585</v>
      </c>
      <c r="B90" s="33" t="s">
        <v>72</v>
      </c>
      <c r="C90" s="33" t="s">
        <v>576</v>
      </c>
      <c r="D90" s="33" t="str">
        <f>254&amp;728586678</f>
        <v>254728586678</v>
      </c>
      <c r="E90" s="33" t="str">
        <f>254&amp;725585188</f>
        <v>254725585188</v>
      </c>
      <c r="F90" s="33">
        <v>7000</v>
      </c>
      <c r="G90" s="33" t="s">
        <v>413</v>
      </c>
      <c r="H90" s="33">
        <v>500</v>
      </c>
      <c r="I90" s="33">
        <v>2000</v>
      </c>
      <c r="J90" s="33">
        <v>9000</v>
      </c>
      <c r="K90" s="33">
        <v>2250</v>
      </c>
      <c r="L90" s="33">
        <v>4250</v>
      </c>
      <c r="M90" s="33">
        <v>4750</v>
      </c>
      <c r="N90" s="33" t="s">
        <v>17</v>
      </c>
    </row>
    <row r="91" spans="1:14">
      <c r="A91" s="33" t="s">
        <v>585</v>
      </c>
      <c r="B91" s="33" t="s">
        <v>502</v>
      </c>
      <c r="C91" s="33" t="s">
        <v>577</v>
      </c>
      <c r="D91" s="33" t="str">
        <f>254&amp;707655312</f>
        <v>254707655312</v>
      </c>
      <c r="E91" s="33" t="str">
        <f>254&amp;711346285</f>
        <v>254711346285</v>
      </c>
      <c r="F91" s="33">
        <v>9000</v>
      </c>
      <c r="G91" s="33" t="s">
        <v>412</v>
      </c>
      <c r="H91" s="33">
        <v>500</v>
      </c>
      <c r="I91" s="33">
        <v>3000</v>
      </c>
      <c r="J91" s="33">
        <v>11000</v>
      </c>
      <c r="K91" s="33">
        <v>2000</v>
      </c>
      <c r="L91" s="33">
        <v>4000</v>
      </c>
      <c r="M91" s="33">
        <v>8000</v>
      </c>
      <c r="N91" s="33" t="s">
        <v>17</v>
      </c>
    </row>
    <row r="92" spans="1:14">
      <c r="A92" s="33" t="s">
        <v>585</v>
      </c>
      <c r="B92" s="33" t="s">
        <v>578</v>
      </c>
      <c r="C92" s="33" t="s">
        <v>118</v>
      </c>
      <c r="D92" s="33" t="str">
        <f>254&amp;791842906</f>
        <v>254791842906</v>
      </c>
      <c r="E92" s="33" t="str">
        <f>354&amp;710467216</f>
        <v>354710467216</v>
      </c>
      <c r="F92" s="33">
        <v>5000</v>
      </c>
      <c r="G92" s="33" t="s">
        <v>413</v>
      </c>
      <c r="H92" s="33">
        <v>500</v>
      </c>
      <c r="I92" s="33">
        <v>1000</v>
      </c>
      <c r="J92" s="33">
        <v>6000</v>
      </c>
      <c r="K92" s="33">
        <v>1500</v>
      </c>
      <c r="L92" s="33">
        <v>3000</v>
      </c>
      <c r="M92" s="33">
        <v>3000</v>
      </c>
      <c r="N92" s="33" t="s">
        <v>43</v>
      </c>
    </row>
    <row r="93" spans="1:14">
      <c r="A93" s="33" t="s">
        <v>585</v>
      </c>
      <c r="B93" s="33" t="s">
        <v>579</v>
      </c>
      <c r="C93" s="33" t="s">
        <v>580</v>
      </c>
      <c r="D93" s="33" t="str">
        <f>254&amp;722655548</f>
        <v>254722655548</v>
      </c>
      <c r="E93" s="33" t="str">
        <f>254&amp;701481316</f>
        <v>254701481316</v>
      </c>
      <c r="F93" s="33">
        <v>8000</v>
      </c>
      <c r="G93" s="33" t="s">
        <v>412</v>
      </c>
      <c r="H93" s="33">
        <v>500</v>
      </c>
      <c r="I93" s="33">
        <v>3000</v>
      </c>
      <c r="J93" s="33">
        <v>11000</v>
      </c>
      <c r="K93" s="33">
        <v>1834</v>
      </c>
      <c r="L93" s="33">
        <v>1834</v>
      </c>
      <c r="M93" s="33">
        <v>9166</v>
      </c>
      <c r="N93" s="33" t="s">
        <v>43</v>
      </c>
    </row>
    <row r="94" spans="1:14">
      <c r="A94" s="33" t="s">
        <v>585</v>
      </c>
      <c r="B94" s="33" t="s">
        <v>161</v>
      </c>
      <c r="C94" s="33" t="s">
        <v>168</v>
      </c>
      <c r="D94" s="33" t="str">
        <f>254&amp;724836941</f>
        <v>254724836941</v>
      </c>
      <c r="E94" s="33" t="str">
        <f>254&amp;743320897</f>
        <v>254743320897</v>
      </c>
      <c r="F94" s="33">
        <v>10000</v>
      </c>
      <c r="G94" s="33" t="s">
        <v>413</v>
      </c>
      <c r="H94" s="33">
        <v>500</v>
      </c>
      <c r="I94" s="33">
        <v>2000</v>
      </c>
      <c r="J94" s="33">
        <v>12000</v>
      </c>
      <c r="K94" s="33">
        <v>3000</v>
      </c>
      <c r="L94" s="33">
        <v>6000</v>
      </c>
      <c r="M94" s="33">
        <v>6000</v>
      </c>
      <c r="N94" s="33" t="s">
        <v>66</v>
      </c>
    </row>
    <row r="95" spans="1:14">
      <c r="A95" s="33" t="s">
        <v>585</v>
      </c>
      <c r="B95" s="33" t="s">
        <v>146</v>
      </c>
      <c r="C95" s="33" t="s">
        <v>296</v>
      </c>
      <c r="D95" s="33" t="str">
        <f>254&amp;793621965</f>
        <v>254793621965</v>
      </c>
      <c r="E95" s="33" t="str">
        <f>254&amp;728627914</f>
        <v>254728627914</v>
      </c>
      <c r="F95" s="33">
        <v>20000</v>
      </c>
      <c r="G95" s="33" t="s">
        <v>413</v>
      </c>
      <c r="H95" s="33">
        <v>500</v>
      </c>
      <c r="I95" s="33">
        <v>4000</v>
      </c>
      <c r="J95" s="33">
        <v>24000</v>
      </c>
      <c r="K95" s="33">
        <v>6000</v>
      </c>
      <c r="L95" s="33">
        <v>12000</v>
      </c>
      <c r="M95" s="33">
        <v>12000</v>
      </c>
      <c r="N95" s="33" t="s">
        <v>66</v>
      </c>
    </row>
    <row r="96" spans="1:14">
      <c r="A96" s="33" t="s">
        <v>585</v>
      </c>
      <c r="B96" s="33" t="s">
        <v>581</v>
      </c>
      <c r="C96" s="33" t="s">
        <v>42</v>
      </c>
      <c r="D96" s="33" t="str">
        <f>254&amp;742282927</f>
        <v>254742282927</v>
      </c>
      <c r="E96" s="33" t="str">
        <f>254&amp;701965026</f>
        <v>254701965026</v>
      </c>
      <c r="F96" s="33">
        <v>10000</v>
      </c>
      <c r="G96" s="33" t="s">
        <v>560</v>
      </c>
      <c r="H96" s="33">
        <v>500</v>
      </c>
      <c r="I96" s="33">
        <v>3000</v>
      </c>
      <c r="J96" s="33">
        <v>13000</v>
      </c>
      <c r="K96" s="33">
        <v>2167</v>
      </c>
      <c r="L96" s="33">
        <v>4317</v>
      </c>
      <c r="M96" s="33">
        <v>8683</v>
      </c>
      <c r="N96" s="33" t="s">
        <v>43</v>
      </c>
    </row>
    <row r="97" spans="1:14">
      <c r="A97" s="33" t="s">
        <v>585</v>
      </c>
      <c r="B97" s="33" t="s">
        <v>279</v>
      </c>
      <c r="C97" s="33" t="s">
        <v>582</v>
      </c>
      <c r="D97" s="33" t="str">
        <f>254&amp;7989632927</f>
        <v>2547989632927</v>
      </c>
      <c r="E97" s="33" t="str">
        <f>254&amp;720323599</f>
        <v>254720323599</v>
      </c>
      <c r="F97" s="33">
        <v>10000</v>
      </c>
      <c r="G97" s="33" t="s">
        <v>413</v>
      </c>
      <c r="H97" s="33">
        <v>500</v>
      </c>
      <c r="I97" s="33">
        <v>2000</v>
      </c>
      <c r="J97" s="33">
        <v>12000</v>
      </c>
      <c r="K97" s="33">
        <v>3000</v>
      </c>
      <c r="L97" s="33">
        <v>6000</v>
      </c>
      <c r="M97" s="33">
        <v>6000</v>
      </c>
      <c r="N97" s="33" t="s">
        <v>66</v>
      </c>
    </row>
    <row r="98" spans="1:14">
      <c r="A98" s="33" t="s">
        <v>586</v>
      </c>
      <c r="B98" s="33" t="s">
        <v>141</v>
      </c>
      <c r="C98" s="33" t="s">
        <v>159</v>
      </c>
      <c r="D98" s="33" t="str">
        <f>254&amp;711312215</f>
        <v>254711312215</v>
      </c>
      <c r="E98" s="33" t="str">
        <f>254&amp;790646590</f>
        <v>254790646590</v>
      </c>
      <c r="F98" s="33">
        <v>12000</v>
      </c>
      <c r="G98" s="33" t="s">
        <v>558</v>
      </c>
      <c r="H98" s="33">
        <v>500</v>
      </c>
      <c r="I98" s="33">
        <v>3600</v>
      </c>
      <c r="J98" s="33">
        <v>15600</v>
      </c>
      <c r="K98" s="33">
        <v>2600</v>
      </c>
      <c r="L98" s="33">
        <v>2600</v>
      </c>
      <c r="M98" s="33">
        <v>13000</v>
      </c>
      <c r="N98" s="33" t="s">
        <v>43</v>
      </c>
    </row>
    <row r="99" spans="1:14">
      <c r="A99" s="33" t="s">
        <v>586</v>
      </c>
      <c r="B99" s="33" t="s">
        <v>618</v>
      </c>
      <c r="C99" s="33" t="s">
        <v>189</v>
      </c>
      <c r="D99" s="33" t="str">
        <f>254&amp;769409406</f>
        <v>254769409406</v>
      </c>
      <c r="E99" s="33" t="str">
        <f>254&amp;700469416</f>
        <v>254700469416</v>
      </c>
      <c r="F99" s="33">
        <v>7000</v>
      </c>
      <c r="G99" s="33" t="s">
        <v>492</v>
      </c>
      <c r="H99" s="33">
        <v>500</v>
      </c>
      <c r="I99" s="33">
        <v>2000</v>
      </c>
      <c r="J99" s="33">
        <v>9000</v>
      </c>
      <c r="K99" s="33">
        <v>2250</v>
      </c>
      <c r="L99" s="33">
        <v>4500</v>
      </c>
      <c r="M99" s="33">
        <v>4500</v>
      </c>
      <c r="N99" s="33" t="s">
        <v>66</v>
      </c>
    </row>
    <row r="100" spans="1:14">
      <c r="A100" s="33" t="s">
        <v>586</v>
      </c>
      <c r="B100" s="33" t="s">
        <v>109</v>
      </c>
      <c r="C100" s="33" t="s">
        <v>110</v>
      </c>
      <c r="D100" s="33" t="str">
        <f>254&amp;712833328</f>
        <v>254712833328</v>
      </c>
      <c r="E100" s="33" t="str">
        <f>254&amp;792402413</f>
        <v>254792402413</v>
      </c>
      <c r="F100" s="33">
        <v>10000</v>
      </c>
      <c r="G100" s="33" t="s">
        <v>507</v>
      </c>
      <c r="H100" s="33">
        <v>500</v>
      </c>
      <c r="I100" s="33">
        <v>3000</v>
      </c>
      <c r="J100" s="33">
        <v>13000</v>
      </c>
      <c r="K100" s="33">
        <v>2167</v>
      </c>
      <c r="L100" s="33">
        <v>2167</v>
      </c>
      <c r="M100" s="33">
        <v>10833</v>
      </c>
      <c r="N100" s="33" t="s">
        <v>17</v>
      </c>
    </row>
    <row r="101" spans="1:14">
      <c r="A101" s="33" t="s">
        <v>586</v>
      </c>
      <c r="B101" s="33" t="s">
        <v>284</v>
      </c>
      <c r="C101" s="33" t="s">
        <v>617</v>
      </c>
      <c r="D101" s="33" t="str">
        <f>254&amp;715228494</f>
        <v>254715228494</v>
      </c>
      <c r="E101" s="33" t="str">
        <f>254&amp;727816846</f>
        <v>254727816846</v>
      </c>
      <c r="F101" s="33">
        <v>10000</v>
      </c>
      <c r="G101" s="33" t="s">
        <v>532</v>
      </c>
      <c r="H101" s="33">
        <v>500</v>
      </c>
      <c r="I101" s="33">
        <v>2000</v>
      </c>
      <c r="J101" s="33">
        <v>12000</v>
      </c>
      <c r="K101" s="33">
        <v>3000</v>
      </c>
      <c r="L101" s="33">
        <v>6000</v>
      </c>
      <c r="M101" s="33">
        <v>6000</v>
      </c>
      <c r="N101" s="33" t="s">
        <v>66</v>
      </c>
    </row>
    <row r="102" spans="1:14">
      <c r="A102" s="90" t="s">
        <v>586</v>
      </c>
      <c r="B102" s="33" t="s">
        <v>528</v>
      </c>
      <c r="C102" s="33" t="s">
        <v>529</v>
      </c>
      <c r="D102" s="33" t="str">
        <f>254&amp;724350985</f>
        <v>254724350985</v>
      </c>
      <c r="E102" s="33" t="str">
        <f>254&amp;796102762</f>
        <v>254796102762</v>
      </c>
      <c r="F102" s="33">
        <v>12000</v>
      </c>
      <c r="G102" s="33" t="s">
        <v>124</v>
      </c>
      <c r="H102" s="33">
        <v>500</v>
      </c>
      <c r="I102" s="33">
        <v>3600</v>
      </c>
      <c r="J102" s="33">
        <v>15600</v>
      </c>
      <c r="K102" s="33">
        <v>2600</v>
      </c>
      <c r="L102" s="33">
        <v>5200</v>
      </c>
      <c r="M102" s="33">
        <v>10400</v>
      </c>
      <c r="N102" s="33" t="s">
        <v>66</v>
      </c>
    </row>
    <row r="103" spans="1:14">
      <c r="A103" s="33" t="s">
        <v>586</v>
      </c>
      <c r="B103" s="33" t="s">
        <v>583</v>
      </c>
      <c r="C103" s="33" t="s">
        <v>584</v>
      </c>
      <c r="D103" s="33" t="str">
        <f>254&amp;796291816</f>
        <v>254796291816</v>
      </c>
      <c r="E103" s="33" t="str">
        <f>254&amp;759522005</f>
        <v>254759522005</v>
      </c>
      <c r="F103" s="33">
        <v>7000</v>
      </c>
      <c r="G103" s="33" t="s">
        <v>507</v>
      </c>
      <c r="H103" s="33">
        <v>500</v>
      </c>
      <c r="I103" s="33">
        <v>3000</v>
      </c>
      <c r="J103" s="33">
        <v>10000</v>
      </c>
      <c r="K103" s="33">
        <v>1667</v>
      </c>
      <c r="L103" s="33">
        <v>1667</v>
      </c>
      <c r="M103" s="33">
        <v>8333</v>
      </c>
      <c r="N103" s="33" t="s">
        <v>43</v>
      </c>
    </row>
    <row r="104" spans="1:14">
      <c r="A104" s="33" t="s">
        <v>586</v>
      </c>
      <c r="B104" s="33" t="s">
        <v>587</v>
      </c>
      <c r="C104" s="33" t="s">
        <v>588</v>
      </c>
      <c r="D104" s="33" t="str">
        <f>254&amp;799871943</f>
        <v>254799871943</v>
      </c>
      <c r="E104" s="33" t="str">
        <f>254&amp;742728359</f>
        <v>254742728359</v>
      </c>
      <c r="F104" s="33">
        <v>10000</v>
      </c>
      <c r="G104" s="33" t="s">
        <v>558</v>
      </c>
      <c r="H104" s="33">
        <v>500</v>
      </c>
      <c r="I104" s="33">
        <v>3000</v>
      </c>
      <c r="J104" s="33">
        <v>13000</v>
      </c>
      <c r="K104" s="33">
        <v>2167</v>
      </c>
      <c r="L104" s="33">
        <v>2167</v>
      </c>
      <c r="M104" s="33">
        <v>10833</v>
      </c>
      <c r="N104" s="33" t="s">
        <v>43</v>
      </c>
    </row>
    <row r="105" spans="1:14">
      <c r="A105" s="33" t="s">
        <v>589</v>
      </c>
      <c r="B105" s="33" t="s">
        <v>177</v>
      </c>
      <c r="C105" s="33" t="s">
        <v>178</v>
      </c>
      <c r="D105" s="33" t="str">
        <f>254&amp;790244173</f>
        <v>254790244173</v>
      </c>
      <c r="E105" s="33" t="str">
        <f>254&amp;768208209</f>
        <v>254768208209</v>
      </c>
      <c r="F105" s="33">
        <v>10000</v>
      </c>
      <c r="G105" s="33" t="s">
        <v>558</v>
      </c>
      <c r="H105" s="33">
        <v>500</v>
      </c>
      <c r="I105" s="33">
        <v>3000</v>
      </c>
      <c r="J105" s="33">
        <v>13000</v>
      </c>
      <c r="K105" s="33">
        <v>2167</v>
      </c>
      <c r="L105" s="33">
        <v>2167</v>
      </c>
      <c r="M105" s="33">
        <v>10833</v>
      </c>
      <c r="N105" s="33" t="s">
        <v>17</v>
      </c>
    </row>
    <row r="106" spans="1:14">
      <c r="A106" s="33" t="s">
        <v>589</v>
      </c>
      <c r="B106" s="33" t="s">
        <v>46</v>
      </c>
      <c r="C106" s="33" t="s">
        <v>590</v>
      </c>
      <c r="D106" s="33" t="str">
        <f>254&amp;708448209</f>
        <v>254708448209</v>
      </c>
      <c r="E106" s="33" t="str">
        <f>254&amp;116691166</f>
        <v>254116691166</v>
      </c>
      <c r="F106" s="33">
        <v>12000</v>
      </c>
      <c r="G106" s="33" t="s">
        <v>558</v>
      </c>
      <c r="H106" s="33">
        <v>500</v>
      </c>
      <c r="I106" s="33">
        <v>3600</v>
      </c>
      <c r="J106" s="33">
        <v>15600</v>
      </c>
      <c r="K106" s="33">
        <v>2600</v>
      </c>
      <c r="L106" s="33">
        <v>2600</v>
      </c>
      <c r="M106" s="33">
        <v>13000</v>
      </c>
      <c r="N106" s="33" t="s">
        <v>17</v>
      </c>
    </row>
    <row r="107" spans="1:14">
      <c r="A107" s="33" t="s">
        <v>589</v>
      </c>
      <c r="B107" s="33" t="s">
        <v>234</v>
      </c>
      <c r="C107" s="33" t="s">
        <v>591</v>
      </c>
      <c r="D107" s="33" t="str">
        <f>254&amp;727364504</f>
        <v>254727364504</v>
      </c>
      <c r="E107" s="33" t="str">
        <f>254&amp;792519004</f>
        <v>254792519004</v>
      </c>
      <c r="F107" s="33">
        <v>12000</v>
      </c>
      <c r="G107" s="33" t="s">
        <v>507</v>
      </c>
      <c r="H107" s="33">
        <v>500</v>
      </c>
      <c r="I107" s="33">
        <v>3600</v>
      </c>
      <c r="J107" s="33">
        <v>15600</v>
      </c>
      <c r="K107" s="33">
        <v>2600</v>
      </c>
      <c r="L107" s="33">
        <v>2600</v>
      </c>
      <c r="M107" s="33">
        <v>13000</v>
      </c>
      <c r="N107" s="33" t="s">
        <v>43</v>
      </c>
    </row>
    <row r="108" spans="1:14">
      <c r="A108" s="33" t="s">
        <v>589</v>
      </c>
      <c r="B108" s="33" t="s">
        <v>44</v>
      </c>
      <c r="C108" s="33" t="s">
        <v>592</v>
      </c>
      <c r="D108" s="33" t="str">
        <f>254&amp;741227923</f>
        <v>254741227923</v>
      </c>
      <c r="E108" s="33" t="str">
        <f>254&amp;757960463</f>
        <v>254757960463</v>
      </c>
      <c r="F108" s="33">
        <v>7000</v>
      </c>
      <c r="G108" s="33" t="s">
        <v>558</v>
      </c>
      <c r="H108" s="33">
        <v>500</v>
      </c>
      <c r="I108" s="33">
        <v>3000</v>
      </c>
      <c r="J108" s="33">
        <v>10000</v>
      </c>
      <c r="K108" s="33">
        <v>1667</v>
      </c>
      <c r="L108" s="33">
        <v>1667</v>
      </c>
      <c r="M108" s="33">
        <v>8333</v>
      </c>
      <c r="N108" s="33" t="s">
        <v>43</v>
      </c>
    </row>
    <row r="109" spans="1:14">
      <c r="A109" s="33" t="s">
        <v>589</v>
      </c>
      <c r="B109" s="33" t="s">
        <v>624</v>
      </c>
      <c r="C109" s="33" t="s">
        <v>625</v>
      </c>
      <c r="D109" s="33" t="str">
        <f>254&amp;748310063</f>
        <v>254748310063</v>
      </c>
      <c r="E109" s="33" t="str">
        <f>254&amp;721425519</f>
        <v>254721425519</v>
      </c>
      <c r="F109" s="33">
        <v>10000</v>
      </c>
      <c r="G109" s="33" t="s">
        <v>507</v>
      </c>
      <c r="H109" s="33">
        <v>500</v>
      </c>
      <c r="I109" s="33">
        <v>3000</v>
      </c>
      <c r="J109" s="33">
        <v>13000</v>
      </c>
      <c r="K109" s="33">
        <v>2167</v>
      </c>
      <c r="L109" s="33">
        <v>2167</v>
      </c>
      <c r="M109" s="33">
        <v>10833</v>
      </c>
      <c r="N109" s="33" t="s">
        <v>43</v>
      </c>
    </row>
    <row r="110" spans="1:14">
      <c r="A110" s="33" t="s">
        <v>589</v>
      </c>
      <c r="B110" s="33" t="s">
        <v>241</v>
      </c>
      <c r="C110" s="33" t="s">
        <v>158</v>
      </c>
      <c r="D110" s="33" t="str">
        <f>254&amp;706439225</f>
        <v>254706439225</v>
      </c>
      <c r="E110" s="33" t="str">
        <f>254&amp;106602609</f>
        <v>254106602609</v>
      </c>
      <c r="F110" s="33">
        <v>10000</v>
      </c>
      <c r="G110" s="33" t="s">
        <v>492</v>
      </c>
      <c r="H110" s="33">
        <v>500</v>
      </c>
      <c r="I110" s="33">
        <v>2000</v>
      </c>
      <c r="J110" s="33">
        <v>12000</v>
      </c>
      <c r="K110" s="33">
        <v>3000</v>
      </c>
      <c r="L110" s="33">
        <v>3000</v>
      </c>
      <c r="M110" s="33">
        <v>9000</v>
      </c>
      <c r="N110" s="33" t="s">
        <v>43</v>
      </c>
    </row>
    <row r="111" spans="1:14">
      <c r="A111" s="33" t="s">
        <v>589</v>
      </c>
      <c r="B111" s="33" t="s">
        <v>599</v>
      </c>
      <c r="C111" s="33" t="s">
        <v>600</v>
      </c>
      <c r="D111" s="33" t="str">
        <f>254&amp;715577248</f>
        <v>254715577248</v>
      </c>
      <c r="E111" s="33" t="str">
        <f>254&amp;741463602</f>
        <v>254741463602</v>
      </c>
      <c r="F111" s="33">
        <v>8000</v>
      </c>
      <c r="G111" s="33" t="s">
        <v>507</v>
      </c>
      <c r="H111" s="33">
        <v>500</v>
      </c>
      <c r="I111" s="33">
        <v>3000</v>
      </c>
      <c r="J111" s="33">
        <v>11000</v>
      </c>
      <c r="K111" s="33">
        <v>1834</v>
      </c>
      <c r="L111" s="33">
        <v>1834</v>
      </c>
      <c r="M111" s="33">
        <v>9266</v>
      </c>
      <c r="N111" s="33" t="s">
        <v>43</v>
      </c>
    </row>
    <row r="112" spans="1:14">
      <c r="A112" s="33" t="s">
        <v>589</v>
      </c>
      <c r="B112" s="33" t="s">
        <v>601</v>
      </c>
      <c r="C112" s="33" t="s">
        <v>602</v>
      </c>
      <c r="D112" s="33" t="str">
        <f>254&amp;799173612</f>
        <v>254799173612</v>
      </c>
      <c r="E112" s="33" t="str">
        <f>254&amp;708387501</f>
        <v>254708387501</v>
      </c>
      <c r="F112" s="33">
        <v>10000</v>
      </c>
      <c r="G112" s="33" t="s">
        <v>492</v>
      </c>
      <c r="H112" s="33">
        <v>500</v>
      </c>
      <c r="I112" s="33">
        <v>2000</v>
      </c>
      <c r="J112" s="33">
        <v>12000</v>
      </c>
      <c r="K112" s="33">
        <v>3000</v>
      </c>
      <c r="L112" s="33">
        <v>6000</v>
      </c>
      <c r="M112" s="33">
        <v>6000</v>
      </c>
      <c r="N112" s="33" t="s">
        <v>147</v>
      </c>
    </row>
    <row r="113" spans="1:14">
      <c r="A113" s="33" t="s">
        <v>589</v>
      </c>
      <c r="B113" s="33" t="s">
        <v>603</v>
      </c>
      <c r="C113" s="33" t="s">
        <v>604</v>
      </c>
      <c r="D113" s="33" t="str">
        <f>254&amp;715924520</f>
        <v>254715924520</v>
      </c>
      <c r="E113" s="33" t="str">
        <f>254&amp;114625557</f>
        <v>254114625557</v>
      </c>
      <c r="F113" s="33">
        <v>7000</v>
      </c>
      <c r="G113" s="33" t="s">
        <v>560</v>
      </c>
      <c r="H113" s="33">
        <v>500</v>
      </c>
      <c r="I113" s="33">
        <v>3000</v>
      </c>
      <c r="J113" s="33">
        <v>10000</v>
      </c>
      <c r="K113" s="33">
        <v>1667</v>
      </c>
      <c r="L113" s="33">
        <v>0</v>
      </c>
      <c r="M113" s="33">
        <v>10000</v>
      </c>
      <c r="N113" s="33" t="s">
        <v>66</v>
      </c>
    </row>
    <row r="114" spans="1:14">
      <c r="A114" s="33" t="s">
        <v>605</v>
      </c>
      <c r="B114" s="33" t="s">
        <v>606</v>
      </c>
      <c r="C114" s="33" t="s">
        <v>607</v>
      </c>
      <c r="D114" s="33" t="str">
        <f>254&amp;24592850</f>
        <v>25424592850</v>
      </c>
      <c r="E114" s="33" t="str">
        <f>254&amp;726768129</f>
        <v>254726768129</v>
      </c>
      <c r="F114" s="33">
        <v>7000</v>
      </c>
      <c r="G114" s="33" t="s">
        <v>507</v>
      </c>
      <c r="H114" s="33">
        <v>500</v>
      </c>
      <c r="I114" s="33">
        <v>3000</v>
      </c>
      <c r="J114" s="33">
        <v>10000</v>
      </c>
      <c r="K114" s="33">
        <v>1667</v>
      </c>
      <c r="L114" s="33">
        <v>1300</v>
      </c>
      <c r="M114" s="33">
        <v>8700</v>
      </c>
      <c r="N114" s="33" t="s">
        <v>66</v>
      </c>
    </row>
    <row r="115" spans="1:14">
      <c r="A115" s="33" t="s">
        <v>605</v>
      </c>
      <c r="B115" s="33" t="s">
        <v>50</v>
      </c>
      <c r="C115" s="33" t="s">
        <v>51</v>
      </c>
      <c r="D115" s="33" t="str">
        <f>254&amp;718846710</f>
        <v>254718846710</v>
      </c>
      <c r="E115" s="33" t="str">
        <f>2547&amp;708382465</f>
        <v>2547708382465</v>
      </c>
      <c r="F115" s="33">
        <v>12000</v>
      </c>
      <c r="G115" s="33" t="s">
        <v>507</v>
      </c>
      <c r="H115" s="33">
        <v>500</v>
      </c>
      <c r="I115" s="33">
        <v>3600</v>
      </c>
      <c r="J115" s="33">
        <v>15600</v>
      </c>
      <c r="K115" s="33">
        <v>2600</v>
      </c>
      <c r="L115" s="33">
        <v>2600</v>
      </c>
      <c r="M115" s="33">
        <v>13000</v>
      </c>
      <c r="N115" s="33" t="s">
        <v>17</v>
      </c>
    </row>
    <row r="116" spans="1:14">
      <c r="A116" s="33" t="s">
        <v>605</v>
      </c>
      <c r="B116" s="33" t="s">
        <v>92</v>
      </c>
      <c r="C116" s="33" t="s">
        <v>608</v>
      </c>
      <c r="D116" s="33" t="str">
        <f>254&amp;705436184</f>
        <v>254705436184</v>
      </c>
      <c r="E116" s="33" t="str">
        <f>254&amp;791919951</f>
        <v>254791919951</v>
      </c>
      <c r="F116" s="33">
        <v>5000</v>
      </c>
      <c r="G116" s="33" t="s">
        <v>532</v>
      </c>
      <c r="H116" s="33">
        <v>500</v>
      </c>
      <c r="I116" s="33">
        <v>1000</v>
      </c>
      <c r="J116" s="33">
        <v>6000</v>
      </c>
      <c r="K116" s="33">
        <v>1500</v>
      </c>
      <c r="L116" s="33">
        <v>1500</v>
      </c>
      <c r="M116" s="33">
        <v>4500</v>
      </c>
      <c r="N116" s="33" t="s">
        <v>17</v>
      </c>
    </row>
    <row r="117" spans="1:14">
      <c r="A117" s="33" t="s">
        <v>605</v>
      </c>
      <c r="B117" s="33" t="s">
        <v>609</v>
      </c>
      <c r="C117" s="33" t="s">
        <v>610</v>
      </c>
      <c r="D117" s="33" t="str">
        <f>254&amp;707492014</f>
        <v>254707492014</v>
      </c>
      <c r="E117" s="33" t="str">
        <f>254&amp;720311445</f>
        <v>254720311445</v>
      </c>
      <c r="F117" s="33">
        <v>7000</v>
      </c>
      <c r="G117" s="33" t="s">
        <v>507</v>
      </c>
      <c r="H117" s="33">
        <v>500</v>
      </c>
      <c r="I117" s="33">
        <v>3000</v>
      </c>
      <c r="J117" s="33">
        <v>10000</v>
      </c>
      <c r="K117" s="33">
        <v>1667</v>
      </c>
      <c r="L117" s="33">
        <v>1667</v>
      </c>
      <c r="M117" s="33">
        <v>8333</v>
      </c>
      <c r="N117" s="33" t="s">
        <v>17</v>
      </c>
    </row>
    <row r="118" spans="1:14">
      <c r="A118" s="33" t="s">
        <v>605</v>
      </c>
      <c r="B118" s="33" t="s">
        <v>611</v>
      </c>
      <c r="C118" s="33" t="s">
        <v>612</v>
      </c>
      <c r="D118" s="33" t="str">
        <f>254&amp;725718918</f>
        <v>254725718918</v>
      </c>
      <c r="E118" s="33" t="str">
        <f>254&amp;711856758</f>
        <v>254711856758</v>
      </c>
      <c r="F118" s="33">
        <v>9000</v>
      </c>
      <c r="G118" s="33" t="s">
        <v>412</v>
      </c>
      <c r="H118" s="33">
        <v>500</v>
      </c>
      <c r="I118" s="33">
        <v>3000</v>
      </c>
      <c r="J118" s="33">
        <v>11000</v>
      </c>
      <c r="K118" s="33">
        <v>2000</v>
      </c>
      <c r="L118" s="33">
        <v>2000</v>
      </c>
      <c r="M118" s="33">
        <v>9000</v>
      </c>
      <c r="N118" s="33" t="s">
        <v>17</v>
      </c>
    </row>
    <row r="119" spans="1:14">
      <c r="A119" s="33" t="s">
        <v>605</v>
      </c>
      <c r="B119" s="33" t="s">
        <v>613</v>
      </c>
      <c r="C119" s="33" t="s">
        <v>614</v>
      </c>
      <c r="D119" s="33" t="str">
        <f>254&amp;725380367</f>
        <v>254725380367</v>
      </c>
      <c r="E119" s="33" t="str">
        <f>254&amp;728534959</f>
        <v>254728534959</v>
      </c>
      <c r="F119" s="33">
        <v>10000</v>
      </c>
      <c r="G119" s="33" t="s">
        <v>412</v>
      </c>
      <c r="H119" s="33">
        <v>500</v>
      </c>
      <c r="I119" s="33">
        <v>3000</v>
      </c>
      <c r="J119" s="33">
        <v>13000</v>
      </c>
      <c r="K119" s="33">
        <v>2167</v>
      </c>
      <c r="L119" s="33">
        <v>2167</v>
      </c>
      <c r="M119" s="33">
        <v>10833</v>
      </c>
      <c r="N119" s="33" t="s">
        <v>17</v>
      </c>
    </row>
    <row r="120" spans="1:14">
      <c r="A120" s="33" t="s">
        <v>605</v>
      </c>
      <c r="B120" s="33" t="s">
        <v>615</v>
      </c>
      <c r="C120" s="33" t="s">
        <v>616</v>
      </c>
      <c r="D120" s="33" t="str">
        <f>254&amp;791967871</f>
        <v>254791967871</v>
      </c>
      <c r="E120" s="33" t="str">
        <f>254&amp;7757262313</f>
        <v>2547757262313</v>
      </c>
      <c r="F120" s="33">
        <v>5000</v>
      </c>
      <c r="G120" s="33" t="s">
        <v>413</v>
      </c>
      <c r="H120" s="33">
        <v>500</v>
      </c>
      <c r="I120" s="33">
        <v>1000</v>
      </c>
      <c r="J120" s="33">
        <v>6000</v>
      </c>
      <c r="K120" s="33">
        <v>1500</v>
      </c>
      <c r="L120" s="33">
        <v>1500</v>
      </c>
      <c r="M120" s="33">
        <v>4500</v>
      </c>
      <c r="N120" s="33" t="s">
        <v>43</v>
      </c>
    </row>
    <row r="121" spans="1:14">
      <c r="A121" s="33" t="s">
        <v>619</v>
      </c>
      <c r="B121" s="33" t="s">
        <v>283</v>
      </c>
      <c r="C121" s="33" t="s">
        <v>620</v>
      </c>
      <c r="D121" s="33" t="str">
        <f>254&amp;797396337</f>
        <v>254797396337</v>
      </c>
      <c r="E121" s="33" t="str">
        <f>254&amp;715228494</f>
        <v>254715228494</v>
      </c>
      <c r="F121" s="33">
        <v>10000</v>
      </c>
      <c r="G121" s="33" t="s">
        <v>413</v>
      </c>
      <c r="H121" s="33">
        <v>500</v>
      </c>
      <c r="I121" s="33">
        <v>2000</v>
      </c>
      <c r="J121" s="33">
        <v>12000</v>
      </c>
      <c r="K121" s="33">
        <v>3000</v>
      </c>
      <c r="L121" s="33">
        <v>3000</v>
      </c>
      <c r="M121" s="33">
        <v>9000</v>
      </c>
      <c r="N121" s="33" t="s">
        <v>17</v>
      </c>
    </row>
    <row r="122" spans="1:14">
      <c r="A122" s="33" t="s">
        <v>619</v>
      </c>
      <c r="B122" s="33" t="s">
        <v>621</v>
      </c>
      <c r="C122" s="33" t="s">
        <v>622</v>
      </c>
      <c r="D122" s="33" t="str">
        <f>254&amp;792149332</f>
        <v>254792149332</v>
      </c>
      <c r="E122" s="33" t="str">
        <f>254&amp;721778601</f>
        <v>254721778601</v>
      </c>
      <c r="F122" s="33">
        <v>7000</v>
      </c>
      <c r="G122" s="33" t="s">
        <v>412</v>
      </c>
      <c r="H122" s="33">
        <v>500</v>
      </c>
      <c r="I122" s="33">
        <v>3000</v>
      </c>
      <c r="J122" s="33">
        <v>10000</v>
      </c>
      <c r="K122" s="33">
        <v>1667</v>
      </c>
      <c r="L122" s="33">
        <v>1000</v>
      </c>
      <c r="M122" s="33">
        <v>9000</v>
      </c>
      <c r="N122" s="33" t="s">
        <v>66</v>
      </c>
    </row>
    <row r="123" spans="1:14">
      <c r="A123" s="38" t="s">
        <v>619</v>
      </c>
      <c r="B123" s="6" t="s">
        <v>232</v>
      </c>
      <c r="C123" s="6" t="s">
        <v>233</v>
      </c>
      <c r="D123" s="17" t="str">
        <f>254&amp;727865456</f>
        <v>254727865456</v>
      </c>
      <c r="E123" s="6" t="str">
        <f>254&amp;726503829</f>
        <v>254726503829</v>
      </c>
      <c r="F123" s="33">
        <v>25000</v>
      </c>
      <c r="G123" s="6" t="s">
        <v>124</v>
      </c>
      <c r="H123" s="33">
        <v>500</v>
      </c>
      <c r="I123" s="33">
        <v>9050</v>
      </c>
      <c r="J123" s="33">
        <v>34050</v>
      </c>
      <c r="K123" s="33">
        <v>5675</v>
      </c>
      <c r="L123" s="33">
        <v>5700</v>
      </c>
      <c r="M123" s="33">
        <v>28350</v>
      </c>
      <c r="N123" s="33" t="s">
        <v>43</v>
      </c>
    </row>
    <row r="124" spans="1:14">
      <c r="A124" s="33" t="s">
        <v>619</v>
      </c>
      <c r="B124" s="33" t="s">
        <v>113</v>
      </c>
      <c r="C124" s="33" t="s">
        <v>623</v>
      </c>
      <c r="D124" s="33" t="str">
        <f>254&amp;721356359</f>
        <v>254721356359</v>
      </c>
      <c r="E124" s="33" t="str">
        <f>254&amp;721401919</f>
        <v>254721401919</v>
      </c>
      <c r="F124" s="33">
        <v>15000</v>
      </c>
      <c r="G124" s="33" t="s">
        <v>412</v>
      </c>
      <c r="H124" s="33">
        <v>500</v>
      </c>
      <c r="I124" s="33">
        <v>4500</v>
      </c>
      <c r="J124" s="33">
        <v>19500</v>
      </c>
      <c r="K124" s="33">
        <v>3250</v>
      </c>
      <c r="L124" s="33">
        <v>3250</v>
      </c>
      <c r="M124" s="33">
        <v>16250</v>
      </c>
      <c r="N124" s="33" t="s">
        <v>17</v>
      </c>
    </row>
    <row r="125" spans="1:14">
      <c r="A125" s="38" t="s">
        <v>619</v>
      </c>
      <c r="B125" s="33" t="s">
        <v>57</v>
      </c>
      <c r="C125" s="33" t="s">
        <v>58</v>
      </c>
      <c r="D125" s="33" t="str">
        <f>254&amp;727059976</f>
        <v>254727059976</v>
      </c>
      <c r="E125" s="33" t="str">
        <f>254&amp;714716360</f>
        <v>254714716360</v>
      </c>
      <c r="F125" s="33">
        <v>5000</v>
      </c>
      <c r="G125" s="33" t="s">
        <v>413</v>
      </c>
      <c r="H125" s="33">
        <v>500</v>
      </c>
      <c r="I125" s="33">
        <v>1000</v>
      </c>
      <c r="J125" s="33">
        <v>6000</v>
      </c>
      <c r="K125" s="33">
        <v>1500</v>
      </c>
      <c r="L125" s="33">
        <v>1000</v>
      </c>
      <c r="M125" s="33">
        <v>5000</v>
      </c>
      <c r="N125" s="33" t="s">
        <v>17</v>
      </c>
    </row>
    <row r="126" spans="1:14">
      <c r="A126" s="38" t="s">
        <v>619</v>
      </c>
      <c r="B126" s="33" t="s">
        <v>94</v>
      </c>
      <c r="C126" s="33" t="s">
        <v>95</v>
      </c>
      <c r="D126" s="33" t="str">
        <f>254&amp;726949202</f>
        <v>254726949202</v>
      </c>
      <c r="E126" s="33" t="str">
        <f>254&amp;728735170</f>
        <v>254728735170</v>
      </c>
      <c r="F126" s="33">
        <v>7000</v>
      </c>
      <c r="G126" s="33" t="s">
        <v>16</v>
      </c>
      <c r="H126" s="33">
        <v>500</v>
      </c>
      <c r="I126" s="33">
        <v>3000</v>
      </c>
      <c r="J126" s="33">
        <v>10000</v>
      </c>
      <c r="K126" s="33">
        <v>1667</v>
      </c>
      <c r="L126" s="33">
        <v>4954</v>
      </c>
      <c r="M126" s="33">
        <v>5046</v>
      </c>
      <c r="N126" s="33" t="s">
        <v>66</v>
      </c>
    </row>
    <row r="127" spans="1:14">
      <c r="A127" s="38" t="s">
        <v>619</v>
      </c>
      <c r="B127" s="33" t="s">
        <v>103</v>
      </c>
      <c r="C127" s="33" t="s">
        <v>104</v>
      </c>
      <c r="D127" s="33" t="str">
        <f>254&amp;794029149</f>
        <v>254794029149</v>
      </c>
      <c r="E127" s="33" t="str">
        <f>254&amp;717512042</f>
        <v>254717512042</v>
      </c>
      <c r="F127" s="33">
        <v>7000</v>
      </c>
      <c r="G127" s="33" t="s">
        <v>16</v>
      </c>
      <c r="H127" s="33">
        <v>500</v>
      </c>
      <c r="I127" s="33">
        <v>3000</v>
      </c>
      <c r="J127" s="33">
        <v>10000</v>
      </c>
      <c r="K127" s="33">
        <v>1667</v>
      </c>
      <c r="L127" s="33">
        <v>1667</v>
      </c>
      <c r="M127" s="33">
        <v>8333</v>
      </c>
      <c r="N127" s="33" t="s">
        <v>66</v>
      </c>
    </row>
    <row r="128" spans="1:14">
      <c r="A128" s="33" t="s">
        <v>619</v>
      </c>
      <c r="B128" s="33" t="s">
        <v>627</v>
      </c>
      <c r="C128" s="33" t="s">
        <v>626</v>
      </c>
      <c r="D128" s="33" t="str">
        <f>254&amp;794416300</f>
        <v>254794416300</v>
      </c>
      <c r="E128" s="33" t="str">
        <f>254&amp;728397868</f>
        <v>254728397868</v>
      </c>
      <c r="F128" s="33">
        <v>5000</v>
      </c>
      <c r="G128" s="33" t="s">
        <v>532</v>
      </c>
      <c r="H128" s="33">
        <v>500</v>
      </c>
      <c r="I128" s="33">
        <v>1000</v>
      </c>
      <c r="J128" s="33">
        <v>6000</v>
      </c>
      <c r="K128" s="33">
        <v>1500</v>
      </c>
      <c r="L128" s="33">
        <v>1500</v>
      </c>
      <c r="M128" s="33">
        <v>4500</v>
      </c>
      <c r="N128" s="33" t="s">
        <v>66</v>
      </c>
    </row>
    <row r="129" spans="1:14">
      <c r="A129" s="38" t="s">
        <v>619</v>
      </c>
      <c r="B129" s="33" t="s">
        <v>155</v>
      </c>
      <c r="C129" s="33" t="s">
        <v>154</v>
      </c>
      <c r="D129" s="33" t="str">
        <f>254&amp;724712026</f>
        <v>254724712026</v>
      </c>
      <c r="E129" s="33" t="str">
        <f>254&amp;746563025</f>
        <v>254746563025</v>
      </c>
      <c r="F129" s="33">
        <v>10000</v>
      </c>
      <c r="G129" s="33" t="s">
        <v>213</v>
      </c>
      <c r="H129" s="33">
        <v>500</v>
      </c>
      <c r="I129" s="33">
        <v>2000</v>
      </c>
      <c r="J129" s="33">
        <v>12000</v>
      </c>
      <c r="K129" s="33">
        <v>3000</v>
      </c>
      <c r="L129" s="33">
        <v>3000</v>
      </c>
      <c r="M129" s="33">
        <v>9000</v>
      </c>
      <c r="N129" s="33" t="s">
        <v>17</v>
      </c>
    </row>
    <row r="130" spans="1:14">
      <c r="A130" s="38" t="s">
        <v>628</v>
      </c>
      <c r="B130" s="33" t="s">
        <v>179</v>
      </c>
      <c r="C130" s="33" t="s">
        <v>180</v>
      </c>
      <c r="D130" s="33" t="str">
        <f>254&amp;797775990</f>
        <v>254797775990</v>
      </c>
      <c r="E130" s="33" t="str">
        <f>254&amp;748608288</f>
        <v>254748608288</v>
      </c>
      <c r="F130" s="33">
        <v>12000</v>
      </c>
      <c r="G130" s="33" t="s">
        <v>124</v>
      </c>
      <c r="H130" s="33">
        <v>500</v>
      </c>
      <c r="I130" s="33">
        <v>3600</v>
      </c>
      <c r="J130" s="33">
        <v>15600</v>
      </c>
      <c r="K130" s="33">
        <v>2600</v>
      </c>
      <c r="L130" s="33">
        <v>2600</v>
      </c>
      <c r="M130" s="33">
        <v>13000</v>
      </c>
      <c r="N130" s="33" t="s">
        <v>66</v>
      </c>
    </row>
    <row r="131" spans="1:14">
      <c r="A131" s="38" t="s">
        <v>628</v>
      </c>
      <c r="B131" s="33" t="s">
        <v>271</v>
      </c>
      <c r="C131" s="33" t="s">
        <v>272</v>
      </c>
      <c r="D131" s="33" t="str">
        <f>254&amp;724701702</f>
        <v>254724701702</v>
      </c>
      <c r="E131" s="33" t="str">
        <f>254&amp;710576285</f>
        <v>254710576285</v>
      </c>
      <c r="F131" s="33">
        <v>12000</v>
      </c>
      <c r="G131" s="33" t="s">
        <v>124</v>
      </c>
      <c r="H131" s="33">
        <v>500</v>
      </c>
      <c r="I131" s="33">
        <v>3600</v>
      </c>
      <c r="J131" s="33">
        <v>15600</v>
      </c>
      <c r="K131" s="33">
        <v>2600</v>
      </c>
      <c r="L131" s="33">
        <v>2600</v>
      </c>
      <c r="M131" s="33">
        <v>13000</v>
      </c>
      <c r="N131" s="33" t="s">
        <v>17</v>
      </c>
    </row>
    <row r="132" spans="1:14">
      <c r="A132" s="38" t="s">
        <v>628</v>
      </c>
      <c r="B132" s="33" t="s">
        <v>114</v>
      </c>
      <c r="C132" s="33" t="s">
        <v>115</v>
      </c>
      <c r="D132" s="33" t="str">
        <f>254&amp;742033906</f>
        <v>254742033906</v>
      </c>
      <c r="E132" s="33" t="str">
        <f>254&amp;790412266</f>
        <v>254790412266</v>
      </c>
      <c r="F132" s="33">
        <v>12000</v>
      </c>
      <c r="G132" s="33" t="s">
        <v>16</v>
      </c>
      <c r="H132" s="33">
        <v>500</v>
      </c>
      <c r="I132" s="33">
        <v>3600</v>
      </c>
      <c r="J132" s="33">
        <v>15600</v>
      </c>
      <c r="K132" s="33">
        <v>2600</v>
      </c>
      <c r="L132" s="33">
        <v>2600</v>
      </c>
      <c r="M132" s="33">
        <v>13000</v>
      </c>
      <c r="N132" s="33" t="s">
        <v>111</v>
      </c>
    </row>
    <row r="133" spans="1:14">
      <c r="A133" s="38" t="s">
        <v>628</v>
      </c>
      <c r="B133" s="33" t="s">
        <v>39</v>
      </c>
      <c r="C133" s="33" t="s">
        <v>40</v>
      </c>
      <c r="D133" s="33" t="str">
        <f>254&amp;721937013</f>
        <v>254721937013</v>
      </c>
      <c r="E133" s="33" t="str">
        <f>254&amp;797691850</f>
        <v>254797691850</v>
      </c>
      <c r="F133" s="33">
        <v>10000</v>
      </c>
      <c r="G133" s="33" t="s">
        <v>31</v>
      </c>
      <c r="H133" s="33">
        <v>500</v>
      </c>
      <c r="I133" s="33">
        <v>2000</v>
      </c>
      <c r="J133" s="33">
        <v>12000</v>
      </c>
      <c r="K133" s="33">
        <v>3000</v>
      </c>
      <c r="L133" s="33">
        <v>2500</v>
      </c>
      <c r="M133" s="33">
        <v>9500</v>
      </c>
      <c r="N133" s="33" t="s">
        <v>17</v>
      </c>
    </row>
    <row r="134" spans="1:14">
      <c r="A134" s="33" t="s">
        <v>628</v>
      </c>
      <c r="B134" s="33" t="s">
        <v>215</v>
      </c>
      <c r="C134" s="33" t="s">
        <v>216</v>
      </c>
      <c r="D134" s="33" t="str">
        <f>254&amp;796250750</f>
        <v>254796250750</v>
      </c>
      <c r="E134" s="33" t="str">
        <f>254&amp;742199155</f>
        <v>254742199155</v>
      </c>
      <c r="F134" s="92">
        <v>15000</v>
      </c>
      <c r="G134" s="33" t="s">
        <v>124</v>
      </c>
      <c r="H134" s="33">
        <v>500</v>
      </c>
      <c r="I134" s="92">
        <v>4500</v>
      </c>
      <c r="J134" s="92">
        <v>19500</v>
      </c>
      <c r="K134" s="33">
        <v>3250</v>
      </c>
      <c r="L134" s="33">
        <v>3250</v>
      </c>
      <c r="M134" s="33">
        <v>16250</v>
      </c>
      <c r="N134" s="33" t="s">
        <v>43</v>
      </c>
    </row>
    <row r="135" spans="1:14">
      <c r="A135" s="33" t="s">
        <v>628</v>
      </c>
      <c r="B135" s="33" t="s">
        <v>152</v>
      </c>
      <c r="C135" s="33" t="s">
        <v>236</v>
      </c>
      <c r="D135" s="33" t="str">
        <f>254&amp;769621536</f>
        <v>254769621536</v>
      </c>
      <c r="E135" s="33" t="str">
        <f>254&amp;724544938</f>
        <v>254724544938</v>
      </c>
      <c r="F135" s="33">
        <v>14000</v>
      </c>
      <c r="G135" s="33" t="s">
        <v>124</v>
      </c>
      <c r="H135" s="33">
        <v>500</v>
      </c>
      <c r="I135" s="33">
        <v>4200</v>
      </c>
      <c r="J135" s="92">
        <v>18200</v>
      </c>
      <c r="K135" s="33">
        <v>3034</v>
      </c>
      <c r="L135" s="33">
        <v>3034</v>
      </c>
      <c r="M135" s="33">
        <v>15166</v>
      </c>
      <c r="N135" s="33" t="s">
        <v>43</v>
      </c>
    </row>
    <row r="136" spans="1:14">
      <c r="A136" s="38" t="s">
        <v>628</v>
      </c>
      <c r="B136" s="33" t="s">
        <v>190</v>
      </c>
      <c r="C136" s="33" t="s">
        <v>192</v>
      </c>
      <c r="D136" s="33" t="str">
        <f>254&amp;704163771</f>
        <v>254704163771</v>
      </c>
      <c r="E136" s="33" t="str">
        <f>254&amp;727306592</f>
        <v>254727306592</v>
      </c>
      <c r="F136" s="33">
        <v>20000</v>
      </c>
      <c r="G136" s="33" t="s">
        <v>213</v>
      </c>
      <c r="H136" s="33">
        <v>500</v>
      </c>
      <c r="I136" s="33">
        <v>4000</v>
      </c>
      <c r="J136" s="33">
        <v>24000</v>
      </c>
      <c r="K136" s="33">
        <v>6000</v>
      </c>
      <c r="L136" s="33">
        <v>6000</v>
      </c>
      <c r="M136" s="33">
        <v>18000</v>
      </c>
      <c r="N136" s="33" t="s">
        <v>43</v>
      </c>
    </row>
    <row r="137" spans="1:14">
      <c r="A137" s="38" t="s">
        <v>628</v>
      </c>
      <c r="B137" s="33" t="s">
        <v>164</v>
      </c>
      <c r="C137" s="33" t="s">
        <v>165</v>
      </c>
      <c r="D137" s="33" t="str">
        <f>254&amp;742982500</f>
        <v>254742982500</v>
      </c>
      <c r="E137" s="33" t="str">
        <f>254&amp;723791251</f>
        <v>254723791251</v>
      </c>
      <c r="F137" s="33">
        <v>8000</v>
      </c>
      <c r="G137" s="33" t="s">
        <v>16</v>
      </c>
      <c r="H137" s="33">
        <v>500</v>
      </c>
      <c r="I137" s="33">
        <v>3000</v>
      </c>
      <c r="J137" s="33">
        <v>11000</v>
      </c>
      <c r="K137" s="33">
        <v>1834</v>
      </c>
      <c r="L137" s="33">
        <v>1667</v>
      </c>
      <c r="M137" s="33">
        <v>9333</v>
      </c>
      <c r="N137" s="33" t="s">
        <v>43</v>
      </c>
    </row>
    <row r="138" spans="1:14">
      <c r="A138" s="33" t="s">
        <v>628</v>
      </c>
      <c r="B138" s="33" t="s">
        <v>629</v>
      </c>
      <c r="C138" s="33" t="s">
        <v>630</v>
      </c>
      <c r="D138" s="33" t="str">
        <f>254&amp;707593937</f>
        <v>254707593937</v>
      </c>
      <c r="E138" s="33" t="str">
        <f>254&amp;704452061</f>
        <v>254704452061</v>
      </c>
      <c r="F138" s="33">
        <v>7000</v>
      </c>
      <c r="G138" s="33" t="s">
        <v>124</v>
      </c>
      <c r="H138" s="33">
        <v>500</v>
      </c>
      <c r="I138" s="33">
        <v>3000</v>
      </c>
      <c r="J138" s="33">
        <v>10000</v>
      </c>
      <c r="K138" s="33">
        <v>1667</v>
      </c>
      <c r="L138" s="33">
        <v>1667</v>
      </c>
      <c r="M138" s="33">
        <v>8333</v>
      </c>
      <c r="N138" s="33" t="s">
        <v>17</v>
      </c>
    </row>
    <row r="139" spans="1:14">
      <c r="A139" s="33" t="s">
        <v>631</v>
      </c>
      <c r="B139" s="33" t="s">
        <v>632</v>
      </c>
      <c r="C139" s="33" t="s">
        <v>633</v>
      </c>
      <c r="D139" s="33" t="str">
        <f>254&amp;707143090</f>
        <v>254707143090</v>
      </c>
      <c r="E139" s="33" t="str">
        <f>254&amp;738427495</f>
        <v>254738427495</v>
      </c>
      <c r="F139" s="33">
        <v>7000</v>
      </c>
      <c r="G139" s="33" t="s">
        <v>412</v>
      </c>
      <c r="H139" s="33">
        <v>500</v>
      </c>
      <c r="I139" s="33">
        <v>3000</v>
      </c>
      <c r="J139" s="33">
        <v>10000</v>
      </c>
      <c r="K139" s="33">
        <v>1667</v>
      </c>
      <c r="L139" s="33">
        <v>1667</v>
      </c>
      <c r="M139" s="33">
        <v>8333</v>
      </c>
      <c r="N139" s="33" t="s">
        <v>66</v>
      </c>
    </row>
    <row r="140" spans="1:14">
      <c r="A140" s="38" t="s">
        <v>631</v>
      </c>
      <c r="B140" s="33" t="s">
        <v>297</v>
      </c>
      <c r="C140" s="33" t="s">
        <v>298</v>
      </c>
      <c r="D140" s="33" t="str">
        <f>254&amp;715616331</f>
        <v>254715616331</v>
      </c>
      <c r="E140" s="33" t="str">
        <f>254&amp;704690718</f>
        <v>254704690718</v>
      </c>
      <c r="F140" s="33">
        <v>12000</v>
      </c>
      <c r="G140" s="33" t="s">
        <v>124</v>
      </c>
      <c r="H140" s="33">
        <v>500</v>
      </c>
      <c r="I140" s="33">
        <v>3600</v>
      </c>
      <c r="J140" s="33">
        <v>15600</v>
      </c>
      <c r="K140" s="33">
        <v>2600</v>
      </c>
      <c r="L140" s="33">
        <v>2600</v>
      </c>
      <c r="M140" s="33">
        <v>13000</v>
      </c>
      <c r="N140" s="33" t="s">
        <v>17</v>
      </c>
    </row>
    <row r="141" spans="1:14">
      <c r="A141" s="38" t="s">
        <v>631</v>
      </c>
      <c r="B141" s="33" t="s">
        <v>310</v>
      </c>
      <c r="C141" s="33" t="s">
        <v>311</v>
      </c>
      <c r="D141" s="33" t="str">
        <f>254&amp;726100264</f>
        <v>254726100264</v>
      </c>
      <c r="E141" s="33" t="str">
        <f>254&amp;720882664</f>
        <v>254720882664</v>
      </c>
      <c r="F141" s="33">
        <v>5000</v>
      </c>
      <c r="G141" s="33" t="s">
        <v>130</v>
      </c>
      <c r="H141" s="33">
        <v>500</v>
      </c>
      <c r="I141" s="33">
        <v>1000</v>
      </c>
      <c r="J141" s="33">
        <v>6000</v>
      </c>
      <c r="K141" s="33">
        <v>1500</v>
      </c>
      <c r="L141" s="33">
        <v>0</v>
      </c>
      <c r="M141" s="33">
        <v>6000</v>
      </c>
      <c r="N141" s="33" t="s">
        <v>17</v>
      </c>
    </row>
    <row r="142" spans="1:14">
      <c r="A142" s="38" t="s">
        <v>631</v>
      </c>
      <c r="B142" s="33" t="s">
        <v>293</v>
      </c>
      <c r="C142" s="33" t="s">
        <v>79</v>
      </c>
      <c r="D142" s="33" t="str">
        <f>254&amp;759607572</f>
        <v>254759607572</v>
      </c>
      <c r="E142" s="33" t="str">
        <f>254&amp;758091413</f>
        <v>254758091413</v>
      </c>
      <c r="F142" s="33">
        <v>10000</v>
      </c>
      <c r="G142" s="33" t="s">
        <v>213</v>
      </c>
      <c r="H142" s="33">
        <v>500</v>
      </c>
      <c r="I142" s="33">
        <v>2000</v>
      </c>
      <c r="J142" s="33">
        <v>12000</v>
      </c>
      <c r="K142" s="33">
        <v>3000</v>
      </c>
      <c r="L142" s="33">
        <v>3000</v>
      </c>
      <c r="M142" s="33">
        <v>9000</v>
      </c>
      <c r="N142" s="33" t="s">
        <v>43</v>
      </c>
    </row>
    <row r="143" spans="1:14">
      <c r="A143" s="38" t="s">
        <v>631</v>
      </c>
      <c r="B143" s="33" t="s">
        <v>67</v>
      </c>
      <c r="C143" s="33" t="s">
        <v>68</v>
      </c>
      <c r="D143" s="33" t="str">
        <f>254&amp;718886595</f>
        <v>254718886595</v>
      </c>
      <c r="E143" s="33" t="str">
        <f>254&amp;726547436</f>
        <v>254726547436</v>
      </c>
      <c r="F143" s="33">
        <v>5000</v>
      </c>
      <c r="G143" s="33" t="s">
        <v>31</v>
      </c>
      <c r="H143" s="33">
        <v>500</v>
      </c>
      <c r="I143" s="33">
        <v>1000</v>
      </c>
      <c r="J143" s="33">
        <v>6000</v>
      </c>
      <c r="K143" s="33">
        <v>1500</v>
      </c>
      <c r="L143" s="33">
        <v>1500</v>
      </c>
      <c r="M143" s="33">
        <v>4500</v>
      </c>
      <c r="N143" s="33" t="s">
        <v>66</v>
      </c>
    </row>
    <row r="144" spans="1:14">
      <c r="A144" s="38" t="s">
        <v>631</v>
      </c>
      <c r="B144" s="33" t="s">
        <v>312</v>
      </c>
      <c r="C144" s="33" t="s">
        <v>91</v>
      </c>
      <c r="D144" s="33" t="str">
        <f>254&amp;714885607</f>
        <v>254714885607</v>
      </c>
      <c r="E144" s="33" t="str">
        <f>254&amp;796216948</f>
        <v>254796216948</v>
      </c>
      <c r="F144" s="33">
        <v>12000</v>
      </c>
      <c r="G144" s="33" t="s">
        <v>16</v>
      </c>
      <c r="H144" s="33">
        <v>500</v>
      </c>
      <c r="I144" s="33">
        <v>3600</v>
      </c>
      <c r="J144" s="33">
        <v>15600</v>
      </c>
      <c r="K144" s="33">
        <v>2600</v>
      </c>
      <c r="L144" s="33">
        <v>2600</v>
      </c>
      <c r="M144" s="33">
        <v>13000</v>
      </c>
      <c r="N144" s="33" t="s">
        <v>17</v>
      </c>
    </row>
    <row r="145" spans="1:14">
      <c r="A145" s="33" t="s">
        <v>631</v>
      </c>
      <c r="B145" s="33" t="s">
        <v>226</v>
      </c>
      <c r="C145" s="33" t="s">
        <v>227</v>
      </c>
      <c r="D145" s="33" t="str">
        <f>254&amp;728290725</f>
        <v>254728290725</v>
      </c>
      <c r="E145" s="33" t="str">
        <f>254&amp;714592685</f>
        <v>254714592685</v>
      </c>
      <c r="F145" s="33">
        <v>15000</v>
      </c>
      <c r="G145" s="33" t="s">
        <v>124</v>
      </c>
      <c r="H145" s="33">
        <v>500</v>
      </c>
      <c r="I145" s="33">
        <v>4500</v>
      </c>
      <c r="J145" s="92">
        <v>19500</v>
      </c>
      <c r="K145" s="33">
        <v>3250</v>
      </c>
      <c r="L145" s="33">
        <v>0</v>
      </c>
      <c r="M145" s="33">
        <v>19500</v>
      </c>
      <c r="N145" s="33" t="s">
        <v>43</v>
      </c>
    </row>
    <row r="146" spans="1:14">
      <c r="A146" s="90" t="s">
        <v>634</v>
      </c>
      <c r="B146" s="33" t="s">
        <v>525</v>
      </c>
      <c r="C146" s="33" t="s">
        <v>526</v>
      </c>
      <c r="D146" s="33" t="str">
        <f>254&amp;714076538</f>
        <v>254714076538</v>
      </c>
      <c r="E146" s="33" t="str">
        <f>254&amp;798654955</f>
        <v>254798654955</v>
      </c>
      <c r="F146" s="33">
        <v>10000</v>
      </c>
      <c r="G146" s="33" t="s">
        <v>413</v>
      </c>
      <c r="H146" s="33">
        <v>500</v>
      </c>
      <c r="I146" s="33">
        <v>2000</v>
      </c>
      <c r="J146" s="33">
        <v>12000</v>
      </c>
      <c r="K146" s="33">
        <v>3000</v>
      </c>
      <c r="L146" s="33">
        <v>0</v>
      </c>
      <c r="M146" s="33">
        <v>12000</v>
      </c>
      <c r="N146" s="33" t="s">
        <v>17</v>
      </c>
    </row>
    <row r="147" spans="1:14">
      <c r="A147" s="38" t="s">
        <v>634</v>
      </c>
      <c r="B147" s="33" t="s">
        <v>162</v>
      </c>
      <c r="C147" s="33" t="s">
        <v>163</v>
      </c>
      <c r="D147" s="33" t="str">
        <f>254&amp;701169467</f>
        <v>254701169467</v>
      </c>
      <c r="E147" s="33" t="str">
        <f>254&amp;712438585</f>
        <v>254712438585</v>
      </c>
      <c r="F147" s="33">
        <v>8000</v>
      </c>
      <c r="G147" s="33" t="s">
        <v>124</v>
      </c>
      <c r="H147" s="33">
        <v>500</v>
      </c>
      <c r="I147" s="33">
        <v>3000</v>
      </c>
      <c r="J147" s="33">
        <v>11000</v>
      </c>
      <c r="K147" s="33">
        <v>1834</v>
      </c>
      <c r="L147" s="33">
        <v>0</v>
      </c>
      <c r="M147" s="33">
        <v>11000</v>
      </c>
      <c r="N147" s="33" t="s">
        <v>66</v>
      </c>
    </row>
    <row r="148" spans="1:14">
      <c r="A148" s="33" t="s">
        <v>634</v>
      </c>
      <c r="B148" s="33" t="s">
        <v>636</v>
      </c>
      <c r="C148" s="33" t="s">
        <v>635</v>
      </c>
      <c r="D148" s="33" t="str">
        <f>254&amp;706099951</f>
        <v>254706099951</v>
      </c>
      <c r="E148" s="33" t="str">
        <f>254&amp;727526497</f>
        <v>254727526497</v>
      </c>
      <c r="F148" s="33">
        <v>7000</v>
      </c>
      <c r="G148" s="33" t="s">
        <v>124</v>
      </c>
      <c r="H148" s="33">
        <v>500</v>
      </c>
      <c r="I148" s="33">
        <v>3000</v>
      </c>
      <c r="J148" s="33">
        <v>10000</v>
      </c>
      <c r="K148" s="33">
        <v>1667</v>
      </c>
      <c r="L148" s="33">
        <v>0</v>
      </c>
      <c r="M148" s="33">
        <v>10000</v>
      </c>
      <c r="N148" s="33" t="s">
        <v>66</v>
      </c>
    </row>
    <row r="149" spans="1:14">
      <c r="A149" s="38" t="s">
        <v>634</v>
      </c>
      <c r="B149" s="33" t="s">
        <v>175</v>
      </c>
      <c r="C149" s="33" t="s">
        <v>176</v>
      </c>
      <c r="D149" s="33" t="str">
        <f>254&amp;790058345</f>
        <v>254790058345</v>
      </c>
      <c r="E149" s="33" t="str">
        <f>254&amp;111510784</f>
        <v>254111510784</v>
      </c>
      <c r="F149" s="33">
        <v>8000</v>
      </c>
      <c r="G149" s="33" t="s">
        <v>213</v>
      </c>
      <c r="H149" s="33">
        <v>500</v>
      </c>
      <c r="I149" s="33">
        <v>2000</v>
      </c>
      <c r="J149" s="33">
        <v>10000</v>
      </c>
      <c r="K149" s="33">
        <v>2500</v>
      </c>
      <c r="L149" s="33">
        <v>0</v>
      </c>
      <c r="M149" s="33">
        <v>10000</v>
      </c>
      <c r="N149" s="33" t="s">
        <v>17</v>
      </c>
    </row>
    <row r="150" spans="1:14">
      <c r="A150" s="38" t="s">
        <v>634</v>
      </c>
      <c r="B150" s="33" t="s">
        <v>269</v>
      </c>
      <c r="C150" s="33" t="s">
        <v>270</v>
      </c>
      <c r="D150" s="33" t="str">
        <f>254&amp;714716360</f>
        <v>254714716360</v>
      </c>
      <c r="E150" s="33" t="str">
        <f>254&amp;758589148</f>
        <v>254758589148</v>
      </c>
      <c r="F150" s="33">
        <v>10000</v>
      </c>
      <c r="G150" s="33" t="s">
        <v>124</v>
      </c>
      <c r="H150" s="33">
        <v>500</v>
      </c>
      <c r="I150" s="33">
        <v>3000</v>
      </c>
      <c r="J150" s="33">
        <v>13000</v>
      </c>
      <c r="K150" s="33">
        <v>2167</v>
      </c>
      <c r="L150" s="33">
        <v>0</v>
      </c>
      <c r="M150" s="33">
        <v>13000</v>
      </c>
      <c r="N150" s="33" t="s">
        <v>17</v>
      </c>
    </row>
    <row r="151" spans="1:14">
      <c r="A151" s="90" t="s">
        <v>634</v>
      </c>
      <c r="B151" s="33" t="s">
        <v>331</v>
      </c>
      <c r="C151" s="33" t="s">
        <v>332</v>
      </c>
      <c r="D151" s="33" t="str">
        <f>254&amp;701035799</f>
        <v>254701035799</v>
      </c>
      <c r="E151" s="33" t="str">
        <f>254&amp;703322932</f>
        <v>254703322932</v>
      </c>
      <c r="F151" s="33">
        <v>10000</v>
      </c>
      <c r="G151" s="6" t="s">
        <v>213</v>
      </c>
      <c r="H151" s="33">
        <v>500</v>
      </c>
      <c r="I151" s="33">
        <v>2000</v>
      </c>
      <c r="J151" s="33">
        <v>12000</v>
      </c>
      <c r="K151" s="33">
        <v>3000</v>
      </c>
      <c r="L151" s="33">
        <v>0</v>
      </c>
      <c r="M151" s="33">
        <v>12000</v>
      </c>
      <c r="N151" s="33" t="s">
        <v>66</v>
      </c>
    </row>
    <row r="152" spans="1:14">
      <c r="A152" s="33" t="s">
        <v>634</v>
      </c>
      <c r="B152" s="33" t="s">
        <v>637</v>
      </c>
      <c r="C152" s="33" t="s">
        <v>638</v>
      </c>
      <c r="D152" s="33" t="str">
        <f>254&amp;119173109</f>
        <v>254119173109</v>
      </c>
      <c r="E152" s="33" t="str">
        <f>254&amp;728845042</f>
        <v>254728845042</v>
      </c>
      <c r="F152" s="33">
        <v>10000</v>
      </c>
      <c r="G152" s="33" t="s">
        <v>412</v>
      </c>
      <c r="H152" s="33">
        <v>500</v>
      </c>
      <c r="I152" s="33">
        <v>3000</v>
      </c>
      <c r="J152" s="33">
        <v>13000</v>
      </c>
      <c r="K152" s="33">
        <v>2167</v>
      </c>
      <c r="L152" s="33">
        <v>2167</v>
      </c>
      <c r="M152" s="33">
        <v>10833</v>
      </c>
      <c r="N152" s="33" t="s">
        <v>66</v>
      </c>
    </row>
    <row r="153" spans="1:14">
      <c r="A153" s="90" t="s">
        <v>640</v>
      </c>
      <c r="B153" s="33" t="s">
        <v>598</v>
      </c>
      <c r="C153" s="33" t="s">
        <v>423</v>
      </c>
      <c r="D153" s="33">
        <v>142842993</v>
      </c>
      <c r="E153" s="33">
        <v>718878829</v>
      </c>
      <c r="F153" s="33">
        <v>5000</v>
      </c>
      <c r="G153" s="33" t="s">
        <v>424</v>
      </c>
      <c r="H153" s="33">
        <v>500</v>
      </c>
      <c r="I153" s="33">
        <v>1000</v>
      </c>
      <c r="J153" s="33">
        <v>6000</v>
      </c>
      <c r="K153" s="33">
        <v>1500</v>
      </c>
      <c r="L153" s="33">
        <v>0</v>
      </c>
      <c r="M153" s="33">
        <v>6000</v>
      </c>
      <c r="N153" s="33" t="s">
        <v>17</v>
      </c>
    </row>
    <row r="154" spans="1:14">
      <c r="A154" s="38" t="s">
        <v>640</v>
      </c>
      <c r="B154" s="33" t="s">
        <v>133</v>
      </c>
      <c r="C154" s="33" t="s">
        <v>134</v>
      </c>
      <c r="D154" s="33">
        <v>700549110</v>
      </c>
      <c r="E154" s="33">
        <v>25479480201</v>
      </c>
      <c r="F154" s="33">
        <v>10000</v>
      </c>
      <c r="G154" s="33" t="s">
        <v>121</v>
      </c>
      <c r="H154" s="33">
        <v>500</v>
      </c>
      <c r="I154" s="33">
        <v>3000</v>
      </c>
      <c r="J154" s="33">
        <v>13000</v>
      </c>
      <c r="K154" s="33">
        <v>2170</v>
      </c>
      <c r="L154" s="33">
        <v>0</v>
      </c>
      <c r="M154" s="33">
        <v>13000</v>
      </c>
      <c r="N154" s="33" t="s">
        <v>17</v>
      </c>
    </row>
    <row r="155" spans="1:14">
      <c r="A155" s="38" t="s">
        <v>640</v>
      </c>
      <c r="B155" s="33" t="s">
        <v>315</v>
      </c>
      <c r="C155" s="33" t="s">
        <v>316</v>
      </c>
      <c r="D155" s="33">
        <v>724442266</v>
      </c>
      <c r="E155" s="33">
        <v>25472214101</v>
      </c>
      <c r="F155" s="33">
        <v>10000</v>
      </c>
      <c r="G155" s="33" t="s">
        <v>130</v>
      </c>
      <c r="H155" s="33">
        <v>500</v>
      </c>
      <c r="I155" s="33">
        <v>2000</v>
      </c>
      <c r="J155" s="33">
        <v>12000</v>
      </c>
      <c r="K155" s="33">
        <v>3000</v>
      </c>
      <c r="L155" s="33">
        <v>0</v>
      </c>
      <c r="M155" s="33">
        <v>12000</v>
      </c>
      <c r="N155" s="33" t="s">
        <v>17</v>
      </c>
    </row>
    <row r="156" spans="1:14">
      <c r="A156" s="33" t="s">
        <v>640</v>
      </c>
      <c r="B156" s="33" t="s">
        <v>199</v>
      </c>
      <c r="C156" s="33" t="s">
        <v>200</v>
      </c>
      <c r="D156" s="33">
        <v>758372505</v>
      </c>
      <c r="E156" s="33">
        <v>254</v>
      </c>
      <c r="F156" s="92">
        <v>10000</v>
      </c>
      <c r="G156" s="33" t="s">
        <v>124</v>
      </c>
      <c r="H156" s="33">
        <v>500</v>
      </c>
      <c r="I156" s="92">
        <v>3000</v>
      </c>
      <c r="J156" s="92">
        <v>13000</v>
      </c>
      <c r="K156" s="33">
        <v>2167</v>
      </c>
      <c r="L156" s="33">
        <v>0</v>
      </c>
      <c r="M156" s="33">
        <v>13000</v>
      </c>
      <c r="N156" s="33" t="s">
        <v>43</v>
      </c>
    </row>
    <row r="157" spans="1:14">
      <c r="A157" s="33" t="s">
        <v>640</v>
      </c>
      <c r="B157" s="33" t="s">
        <v>641</v>
      </c>
      <c r="C157" s="33" t="s">
        <v>642</v>
      </c>
      <c r="D157" s="33">
        <v>718659733</v>
      </c>
      <c r="E157" s="33">
        <v>790796424</v>
      </c>
      <c r="F157" s="33">
        <v>7000</v>
      </c>
      <c r="G157" s="33" t="s">
        <v>412</v>
      </c>
      <c r="H157" s="33">
        <v>500</v>
      </c>
      <c r="I157" s="33">
        <v>3000</v>
      </c>
      <c r="J157" s="33">
        <v>10000</v>
      </c>
      <c r="K157" s="33">
        <v>1667</v>
      </c>
      <c r="L157" s="33">
        <v>0</v>
      </c>
      <c r="M157" s="33">
        <v>10000</v>
      </c>
      <c r="N157" s="33" t="s">
        <v>43</v>
      </c>
    </row>
    <row r="158" spans="1:14">
      <c r="A158" s="38" t="s">
        <v>643</v>
      </c>
      <c r="B158" s="33" t="s">
        <v>65</v>
      </c>
      <c r="C158" s="33" t="s">
        <v>268</v>
      </c>
      <c r="D158" s="33">
        <v>717622386</v>
      </c>
      <c r="E158" s="33" t="s">
        <v>644</v>
      </c>
      <c r="F158" s="33">
        <v>12000</v>
      </c>
      <c r="G158" s="33" t="s">
        <v>31</v>
      </c>
      <c r="H158" s="33">
        <v>500</v>
      </c>
      <c r="I158" s="33">
        <v>2400</v>
      </c>
      <c r="J158" s="33">
        <v>14400</v>
      </c>
      <c r="K158" s="33">
        <v>3600</v>
      </c>
      <c r="L158" s="33">
        <v>0</v>
      </c>
      <c r="M158" s="33">
        <v>14400</v>
      </c>
      <c r="N158" s="33" t="s">
        <v>66</v>
      </c>
    </row>
    <row r="159" spans="1:14">
      <c r="A159" s="38" t="s">
        <v>643</v>
      </c>
      <c r="B159" s="33" t="s">
        <v>327</v>
      </c>
      <c r="C159" s="33" t="s">
        <v>328</v>
      </c>
      <c r="D159" s="33">
        <v>702028822</v>
      </c>
      <c r="E159" s="33">
        <v>713501528</v>
      </c>
      <c r="F159" s="33">
        <v>10000</v>
      </c>
      <c r="G159" s="33" t="s">
        <v>124</v>
      </c>
      <c r="H159" s="33">
        <v>500</v>
      </c>
      <c r="I159" s="33">
        <v>3000</v>
      </c>
      <c r="J159" s="33">
        <v>13000</v>
      </c>
      <c r="K159" s="33">
        <v>2167</v>
      </c>
      <c r="L159" s="33">
        <v>0</v>
      </c>
      <c r="M159" s="33">
        <v>13000</v>
      </c>
      <c r="N159" s="33" t="s">
        <v>66</v>
      </c>
    </row>
    <row r="160" spans="1:14">
      <c r="A160" s="38" t="s">
        <v>643</v>
      </c>
      <c r="B160" s="33" t="s">
        <v>206</v>
      </c>
      <c r="C160" s="33" t="s">
        <v>207</v>
      </c>
      <c r="D160" s="33">
        <v>711410254</v>
      </c>
      <c r="E160" s="33">
        <v>715257237</v>
      </c>
      <c r="F160" s="33">
        <v>7000</v>
      </c>
      <c r="G160" s="33" t="s">
        <v>124</v>
      </c>
      <c r="H160" s="33">
        <v>500</v>
      </c>
      <c r="I160" s="33">
        <v>3000</v>
      </c>
      <c r="J160" s="33">
        <v>10000</v>
      </c>
      <c r="K160" s="33">
        <v>1667</v>
      </c>
      <c r="L160" s="33">
        <v>0</v>
      </c>
      <c r="M160" s="33">
        <v>10000</v>
      </c>
      <c r="N160" s="33" t="s">
        <v>43</v>
      </c>
    </row>
    <row r="161" spans="1:14">
      <c r="A161" s="38" t="s">
        <v>643</v>
      </c>
      <c r="B161" s="33" t="s">
        <v>150</v>
      </c>
      <c r="C161" s="33" t="s">
        <v>645</v>
      </c>
      <c r="D161" s="33">
        <v>702599233</v>
      </c>
      <c r="E161" s="33">
        <v>797584851</v>
      </c>
      <c r="F161" s="33">
        <v>7000</v>
      </c>
      <c r="G161" s="33" t="s">
        <v>412</v>
      </c>
      <c r="H161" s="33">
        <v>500</v>
      </c>
      <c r="I161" s="33">
        <v>3000</v>
      </c>
      <c r="J161" s="33">
        <v>10000</v>
      </c>
      <c r="K161" s="33">
        <v>2167</v>
      </c>
      <c r="L161" s="33">
        <v>0</v>
      </c>
      <c r="M161" s="33">
        <v>10000</v>
      </c>
      <c r="N161" s="33" t="s">
        <v>17</v>
      </c>
    </row>
    <row r="162" spans="1:14">
      <c r="A162" s="33" t="s">
        <v>643</v>
      </c>
      <c r="B162" s="33" t="s">
        <v>238</v>
      </c>
      <c r="C162" s="33" t="s">
        <v>239</v>
      </c>
      <c r="D162" s="33">
        <v>795544079</v>
      </c>
      <c r="E162" s="33">
        <v>713472309</v>
      </c>
      <c r="F162" s="33">
        <v>10000</v>
      </c>
      <c r="G162" s="33" t="s">
        <v>412</v>
      </c>
      <c r="H162" s="33">
        <v>500</v>
      </c>
      <c r="I162" s="33">
        <v>3000</v>
      </c>
      <c r="J162" s="92">
        <v>13000</v>
      </c>
      <c r="K162" s="33">
        <v>2167</v>
      </c>
      <c r="L162" s="33">
        <v>0</v>
      </c>
      <c r="M162" s="33">
        <v>13000</v>
      </c>
      <c r="N162" s="33" t="s">
        <v>43</v>
      </c>
    </row>
    <row r="163" spans="1:14">
      <c r="A163" s="33" t="s">
        <v>646</v>
      </c>
      <c r="B163" s="33" t="s">
        <v>647</v>
      </c>
      <c r="C163" s="33" t="s">
        <v>648</v>
      </c>
      <c r="D163" s="33">
        <v>729828281</v>
      </c>
      <c r="E163" s="33">
        <v>713328411</v>
      </c>
      <c r="F163" s="33">
        <v>7000</v>
      </c>
      <c r="G163" s="33" t="s">
        <v>412</v>
      </c>
      <c r="H163" s="33">
        <v>500</v>
      </c>
      <c r="I163" s="33">
        <v>3000</v>
      </c>
      <c r="J163" s="33">
        <v>10000</v>
      </c>
      <c r="K163" s="33">
        <v>1667</v>
      </c>
      <c r="L163" s="33">
        <v>0</v>
      </c>
      <c r="M163" s="33">
        <v>10000</v>
      </c>
      <c r="N163" s="33" t="s">
        <v>43</v>
      </c>
    </row>
    <row r="164" spans="1:14">
      <c r="A164" s="90" t="s">
        <v>646</v>
      </c>
      <c r="B164" s="33" t="s">
        <v>511</v>
      </c>
      <c r="C164" s="33" t="s">
        <v>512</v>
      </c>
      <c r="D164" s="33" t="str">
        <f>254&amp;23849109</f>
        <v>25423849109</v>
      </c>
      <c r="E164" s="33" t="str">
        <f>254&amp;711237285</f>
        <v>254711237285</v>
      </c>
      <c r="F164" s="33">
        <v>10000</v>
      </c>
      <c r="G164" s="33" t="s">
        <v>124</v>
      </c>
      <c r="H164" s="33">
        <v>500</v>
      </c>
      <c r="I164" s="33">
        <v>3000</v>
      </c>
      <c r="J164" s="33">
        <v>13000</v>
      </c>
      <c r="K164" s="33">
        <v>2167</v>
      </c>
      <c r="L164" s="33">
        <v>0</v>
      </c>
      <c r="M164" s="33">
        <v>13000</v>
      </c>
      <c r="N164" s="33" t="s">
        <v>43</v>
      </c>
    </row>
    <row r="165" spans="1:14">
      <c r="A165" s="38" t="s">
        <v>646</v>
      </c>
      <c r="B165" s="33" t="s">
        <v>285</v>
      </c>
      <c r="C165" s="33" t="s">
        <v>286</v>
      </c>
      <c r="D165" s="33">
        <v>721961454</v>
      </c>
      <c r="E165" s="33">
        <v>714126599</v>
      </c>
      <c r="F165" s="33">
        <v>7000</v>
      </c>
      <c r="G165" s="33" t="s">
        <v>124</v>
      </c>
      <c r="H165" s="33">
        <v>500</v>
      </c>
      <c r="I165" s="33">
        <v>3000</v>
      </c>
      <c r="J165" s="33">
        <v>10000</v>
      </c>
      <c r="K165" s="33">
        <v>1667</v>
      </c>
      <c r="L165" s="33">
        <v>0</v>
      </c>
      <c r="M165" s="33">
        <v>10000</v>
      </c>
      <c r="N165" s="33" t="s">
        <v>17</v>
      </c>
    </row>
    <row r="166" spans="1:14">
      <c r="A166" s="38" t="s">
        <v>646</v>
      </c>
      <c r="B166" s="33" t="s">
        <v>221</v>
      </c>
      <c r="C166" s="33" t="s">
        <v>222</v>
      </c>
      <c r="D166" s="33">
        <v>743665781</v>
      </c>
      <c r="E166" s="33">
        <v>721439189</v>
      </c>
      <c r="F166" s="33">
        <v>7000</v>
      </c>
      <c r="G166" s="33" t="s">
        <v>124</v>
      </c>
      <c r="H166" s="33">
        <v>500</v>
      </c>
      <c r="I166" s="33">
        <v>3000</v>
      </c>
      <c r="J166" s="33">
        <v>10000</v>
      </c>
      <c r="K166" s="33">
        <v>1667</v>
      </c>
      <c r="L166" s="33">
        <v>0</v>
      </c>
      <c r="M166" s="33">
        <v>10000</v>
      </c>
      <c r="N166" s="33" t="s">
        <v>43</v>
      </c>
    </row>
    <row r="167" spans="1:14">
      <c r="A167" s="90" t="s">
        <v>646</v>
      </c>
      <c r="B167" s="33" t="s">
        <v>83</v>
      </c>
      <c r="C167" s="33" t="s">
        <v>566</v>
      </c>
      <c r="D167" s="33" t="str">
        <f>254&amp;720813561</f>
        <v>254720813561</v>
      </c>
      <c r="E167" s="33" t="str">
        <f>254&amp;725426487</f>
        <v>254725426487</v>
      </c>
      <c r="F167" s="33">
        <v>17000</v>
      </c>
      <c r="G167" s="6" t="s">
        <v>124</v>
      </c>
      <c r="H167" s="33">
        <v>500</v>
      </c>
      <c r="I167" s="33">
        <v>4500</v>
      </c>
      <c r="J167" s="33">
        <v>22100</v>
      </c>
      <c r="K167" s="33">
        <v>3684</v>
      </c>
      <c r="L167" s="33">
        <v>0</v>
      </c>
      <c r="M167" s="33">
        <v>22100</v>
      </c>
      <c r="N167" s="33" t="s">
        <v>43</v>
      </c>
    </row>
    <row r="168" spans="1:14">
      <c r="A168" s="33" t="s">
        <v>646</v>
      </c>
      <c r="B168" s="33" t="s">
        <v>649</v>
      </c>
      <c r="C168" s="33" t="s">
        <v>650</v>
      </c>
      <c r="D168" s="33">
        <v>705851219</v>
      </c>
      <c r="E168" s="33">
        <v>742242993</v>
      </c>
      <c r="F168" s="33">
        <v>7000</v>
      </c>
      <c r="G168" s="33" t="s">
        <v>413</v>
      </c>
      <c r="H168" s="33">
        <v>500</v>
      </c>
      <c r="I168" s="33">
        <v>2000</v>
      </c>
      <c r="J168" s="33">
        <v>9000</v>
      </c>
      <c r="K168" s="33">
        <v>2250</v>
      </c>
      <c r="L168" s="33">
        <v>0</v>
      </c>
      <c r="M168" s="33">
        <v>9000</v>
      </c>
      <c r="N168" s="89" t="s">
        <v>66</v>
      </c>
    </row>
    <row r="169" spans="1:14">
      <c r="A169" s="90" t="s">
        <v>651</v>
      </c>
      <c r="B169" s="33" t="s">
        <v>337</v>
      </c>
      <c r="C169" s="33" t="s">
        <v>338</v>
      </c>
      <c r="D169" s="33">
        <v>711382851</v>
      </c>
      <c r="E169" s="33">
        <v>758274400</v>
      </c>
      <c r="F169" s="33">
        <v>5000</v>
      </c>
      <c r="G169" s="33" t="s">
        <v>213</v>
      </c>
      <c r="H169" s="33">
        <v>500</v>
      </c>
      <c r="I169" s="33">
        <v>1000</v>
      </c>
      <c r="J169" s="33">
        <v>6000</v>
      </c>
      <c r="K169" s="33">
        <v>1500</v>
      </c>
      <c r="L169" s="33">
        <v>0</v>
      </c>
      <c r="M169" s="33">
        <v>6000</v>
      </c>
      <c r="N169" s="33" t="s">
        <v>17</v>
      </c>
    </row>
    <row r="170" spans="1:14">
      <c r="A170" s="90" t="s">
        <v>651</v>
      </c>
      <c r="B170" s="33" t="s">
        <v>86</v>
      </c>
      <c r="C170" s="33" t="s">
        <v>426</v>
      </c>
      <c r="D170" s="33">
        <v>708199244</v>
      </c>
      <c r="E170" s="33">
        <v>700509057</v>
      </c>
      <c r="F170" s="33">
        <v>20000</v>
      </c>
      <c r="G170" s="33" t="s">
        <v>413</v>
      </c>
      <c r="H170" s="33">
        <v>500</v>
      </c>
      <c r="I170" s="33">
        <v>4000</v>
      </c>
      <c r="J170" s="33">
        <v>24000</v>
      </c>
      <c r="K170" s="33">
        <v>6000</v>
      </c>
      <c r="L170" s="33">
        <v>0</v>
      </c>
      <c r="M170" s="33">
        <v>24000</v>
      </c>
      <c r="N170" s="33" t="s">
        <v>17</v>
      </c>
    </row>
    <row r="171" spans="1:14">
      <c r="A171" s="90" t="s">
        <v>651</v>
      </c>
      <c r="B171" s="33" t="s">
        <v>500</v>
      </c>
      <c r="C171" s="33" t="s">
        <v>89</v>
      </c>
      <c r="D171" s="33">
        <v>715706681</v>
      </c>
      <c r="E171" s="33">
        <v>722948117</v>
      </c>
      <c r="F171" s="33">
        <v>20000</v>
      </c>
      <c r="G171" s="33" t="s">
        <v>413</v>
      </c>
      <c r="H171" s="33">
        <v>500</v>
      </c>
      <c r="I171" s="33">
        <v>4000</v>
      </c>
      <c r="J171" s="33">
        <v>24000</v>
      </c>
      <c r="K171" s="33">
        <v>6000</v>
      </c>
      <c r="L171" s="33">
        <v>0</v>
      </c>
      <c r="M171" s="33">
        <v>24000</v>
      </c>
      <c r="N171" s="33" t="s">
        <v>17</v>
      </c>
    </row>
    <row r="172" spans="1:14">
      <c r="A172" s="33" t="s">
        <v>651</v>
      </c>
      <c r="B172" s="33" t="s">
        <v>59</v>
      </c>
      <c r="C172" s="33" t="s">
        <v>575</v>
      </c>
      <c r="D172" s="33">
        <v>769573260</v>
      </c>
      <c r="E172" s="33">
        <v>702653933</v>
      </c>
      <c r="F172" s="33">
        <v>10000</v>
      </c>
      <c r="G172" s="33" t="s">
        <v>532</v>
      </c>
      <c r="H172" s="33">
        <v>500</v>
      </c>
      <c r="I172" s="33">
        <v>2000</v>
      </c>
      <c r="J172" s="33">
        <v>12000</v>
      </c>
      <c r="K172" s="33">
        <v>3000</v>
      </c>
      <c r="L172" s="33">
        <v>0</v>
      </c>
      <c r="M172" s="33">
        <v>12000</v>
      </c>
      <c r="N172" s="33" t="s">
        <v>43</v>
      </c>
    </row>
    <row r="173" spans="1:14">
      <c r="A173" s="90" t="s">
        <v>651</v>
      </c>
      <c r="B173" s="33" t="s">
        <v>185</v>
      </c>
      <c r="C173" s="33" t="s">
        <v>186</v>
      </c>
      <c r="D173" s="33">
        <v>723858169</v>
      </c>
      <c r="E173" s="33">
        <v>703286633</v>
      </c>
      <c r="F173" s="33">
        <v>7000</v>
      </c>
      <c r="G173" s="33" t="s">
        <v>413</v>
      </c>
      <c r="H173" s="33">
        <v>500</v>
      </c>
      <c r="I173" s="33">
        <v>3000</v>
      </c>
      <c r="J173" s="33">
        <v>9000</v>
      </c>
      <c r="K173" s="33">
        <v>2250</v>
      </c>
      <c r="L173" s="33">
        <v>0</v>
      </c>
      <c r="M173" s="33">
        <v>9000</v>
      </c>
      <c r="N173" s="33" t="s">
        <v>43</v>
      </c>
    </row>
    <row r="175" spans="1:14">
      <c r="J175" s="89">
        <f>SUM(J2:J174)</f>
        <v>2220858</v>
      </c>
      <c r="K175" s="89">
        <f>SUM(K2:K174)</f>
        <v>427859</v>
      </c>
      <c r="L175" s="89">
        <f>SUM(L2:L174)</f>
        <v>803818</v>
      </c>
      <c r="M175" s="89">
        <f>SUM(M2:M174)</f>
        <v>1414328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zoomScale="98" zoomScaleNormal="98" workbookViewId="0">
      <selection activeCell="B2" sqref="B2"/>
    </sheetView>
  </sheetViews>
  <sheetFormatPr defaultRowHeight="1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7" customWidth="1"/>
    <col min="13" max="13" width="11.28515625" bestFit="1" customWidth="1"/>
    <col min="14" max="14" width="6.42578125" customWidth="1"/>
  </cols>
  <sheetData>
    <row r="1" spans="1:14" ht="36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46029</v>
      </c>
      <c r="B2" t="s">
        <v>654</v>
      </c>
      <c r="C2" t="s">
        <v>655</v>
      </c>
      <c r="D2">
        <v>769261515</v>
      </c>
      <c r="E2">
        <v>141001738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8001</v>
      </c>
      <c r="M2">
        <v>4999</v>
      </c>
      <c r="N2" t="s">
        <v>66</v>
      </c>
    </row>
    <row r="3" spans="1:14">
      <c r="A3" s="98">
        <v>46029</v>
      </c>
      <c r="B3" t="s">
        <v>274</v>
      </c>
      <c r="C3" t="s">
        <v>656</v>
      </c>
      <c r="D3">
        <v>720630896</v>
      </c>
      <c r="E3">
        <v>113244500</v>
      </c>
      <c r="F3">
        <v>8000</v>
      </c>
      <c r="G3" t="s">
        <v>412</v>
      </c>
      <c r="H3">
        <v>500</v>
      </c>
      <c r="I3">
        <v>3000</v>
      </c>
      <c r="J3">
        <v>11000</v>
      </c>
      <c r="K3">
        <v>1834</v>
      </c>
      <c r="L3">
        <v>6802</v>
      </c>
      <c r="M3">
        <v>4198</v>
      </c>
      <c r="N3" t="s">
        <v>43</v>
      </c>
    </row>
    <row r="4" spans="1:14">
      <c r="A4" s="98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412</v>
      </c>
      <c r="H4">
        <v>500</v>
      </c>
      <c r="I4">
        <v>3000</v>
      </c>
      <c r="J4">
        <v>13000</v>
      </c>
      <c r="K4">
        <v>2167</v>
      </c>
      <c r="L4">
        <v>8668</v>
      </c>
      <c r="M4">
        <v>4332</v>
      </c>
      <c r="N4" t="s">
        <v>43</v>
      </c>
    </row>
    <row r="5" spans="1:14">
      <c r="A5" s="98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412</v>
      </c>
      <c r="H5">
        <v>500</v>
      </c>
      <c r="I5">
        <v>4500</v>
      </c>
      <c r="J5">
        <v>19500</v>
      </c>
      <c r="K5">
        <v>3250</v>
      </c>
      <c r="L5">
        <v>13000</v>
      </c>
      <c r="M5">
        <v>6500</v>
      </c>
      <c r="N5" t="s">
        <v>657</v>
      </c>
    </row>
    <row r="6" spans="1:14">
      <c r="A6" s="98">
        <v>46088</v>
      </c>
      <c r="B6" t="s">
        <v>658</v>
      </c>
      <c r="C6" t="s">
        <v>659</v>
      </c>
      <c r="D6">
        <v>723113511</v>
      </c>
      <c r="E6">
        <v>703207202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3250</v>
      </c>
      <c r="M6">
        <v>5750</v>
      </c>
      <c r="N6" t="s">
        <v>657</v>
      </c>
    </row>
    <row r="7" spans="1:14">
      <c r="A7" s="98">
        <v>46088</v>
      </c>
      <c r="B7" t="s">
        <v>317</v>
      </c>
      <c r="C7" t="s">
        <v>660</v>
      </c>
      <c r="D7">
        <v>713944872</v>
      </c>
      <c r="E7">
        <v>796323736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3334</v>
      </c>
      <c r="M7">
        <v>6666</v>
      </c>
      <c r="N7" t="s">
        <v>43</v>
      </c>
    </row>
    <row r="8" spans="1:14">
      <c r="A8" s="98">
        <v>46088</v>
      </c>
      <c r="B8" t="s">
        <v>661</v>
      </c>
      <c r="C8" t="s">
        <v>662</v>
      </c>
      <c r="D8">
        <v>724164082</v>
      </c>
      <c r="E8">
        <v>727992553</v>
      </c>
      <c r="F8">
        <v>8000</v>
      </c>
      <c r="G8" t="s">
        <v>413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657</v>
      </c>
    </row>
    <row r="9" spans="1:14">
      <c r="A9" s="98">
        <v>46088</v>
      </c>
      <c r="B9" t="s">
        <v>663</v>
      </c>
      <c r="C9" t="s">
        <v>664</v>
      </c>
      <c r="D9">
        <v>716331062</v>
      </c>
      <c r="E9">
        <v>720294359</v>
      </c>
      <c r="F9">
        <v>5000</v>
      </c>
      <c r="G9" t="s">
        <v>413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>
      <c r="A10" s="98">
        <v>46088</v>
      </c>
      <c r="B10" t="s">
        <v>665</v>
      </c>
      <c r="C10" t="s">
        <v>666</v>
      </c>
      <c r="D10">
        <v>724479261</v>
      </c>
      <c r="E10">
        <v>728649729</v>
      </c>
      <c r="F10">
        <v>8000</v>
      </c>
      <c r="G10" t="s">
        <v>413</v>
      </c>
      <c r="H10">
        <v>500</v>
      </c>
      <c r="I10">
        <v>2000</v>
      </c>
      <c r="J10">
        <v>10000</v>
      </c>
      <c r="K10">
        <v>2500</v>
      </c>
      <c r="L10">
        <v>5000</v>
      </c>
      <c r="M10">
        <v>5000</v>
      </c>
      <c r="N10" t="s">
        <v>66</v>
      </c>
    </row>
    <row r="11" spans="1:14">
      <c r="A11" s="98">
        <v>46180</v>
      </c>
      <c r="B11" t="s">
        <v>321</v>
      </c>
      <c r="C11" t="s">
        <v>667</v>
      </c>
      <c r="D11">
        <v>746405759</v>
      </c>
      <c r="E11">
        <v>718102970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5502</v>
      </c>
      <c r="M11">
        <v>5498</v>
      </c>
      <c r="N11" t="s">
        <v>657</v>
      </c>
    </row>
    <row r="12" spans="1:14">
      <c r="A12" s="98">
        <v>46180</v>
      </c>
      <c r="B12" t="s">
        <v>668</v>
      </c>
      <c r="C12" t="s">
        <v>113</v>
      </c>
      <c r="D12">
        <v>711973607</v>
      </c>
      <c r="E12">
        <v>742103835</v>
      </c>
      <c r="F12">
        <v>20000</v>
      </c>
      <c r="G12" t="s">
        <v>413</v>
      </c>
      <c r="H12">
        <v>500</v>
      </c>
      <c r="I12">
        <v>4000</v>
      </c>
      <c r="J12">
        <v>24000</v>
      </c>
      <c r="K12">
        <v>6000</v>
      </c>
      <c r="L12">
        <v>18000</v>
      </c>
      <c r="M12">
        <v>6000</v>
      </c>
      <c r="N12" t="s">
        <v>43</v>
      </c>
    </row>
    <row r="13" spans="1:14">
      <c r="A13" s="98">
        <v>46180</v>
      </c>
      <c r="B13" t="s">
        <v>669</v>
      </c>
      <c r="C13" t="s">
        <v>670</v>
      </c>
      <c r="D13">
        <v>724446422</v>
      </c>
      <c r="E13">
        <v>726768133</v>
      </c>
      <c r="F13">
        <v>5000</v>
      </c>
      <c r="G13" t="s">
        <v>413</v>
      </c>
      <c r="H13">
        <v>500</v>
      </c>
      <c r="I13">
        <v>1000</v>
      </c>
      <c r="J13">
        <v>6000</v>
      </c>
      <c r="K13">
        <v>1500</v>
      </c>
      <c r="L13">
        <v>4500</v>
      </c>
      <c r="M13">
        <v>1500</v>
      </c>
      <c r="N13" t="s">
        <v>66</v>
      </c>
    </row>
    <row r="14" spans="1:14">
      <c r="A14" s="98">
        <v>46180</v>
      </c>
      <c r="B14" t="s">
        <v>671</v>
      </c>
      <c r="C14" t="s">
        <v>672</v>
      </c>
      <c r="D14">
        <v>118525881</v>
      </c>
      <c r="E14">
        <v>794400120</v>
      </c>
      <c r="F14">
        <v>7000</v>
      </c>
      <c r="G14" t="s">
        <v>412</v>
      </c>
      <c r="H14">
        <v>500</v>
      </c>
      <c r="I14">
        <v>2000</v>
      </c>
      <c r="J14">
        <v>10000</v>
      </c>
      <c r="K14">
        <v>1667</v>
      </c>
      <c r="L14">
        <v>5001</v>
      </c>
      <c r="M14">
        <v>4999</v>
      </c>
      <c r="N14" t="s">
        <v>66</v>
      </c>
    </row>
    <row r="15" spans="1:14">
      <c r="A15" s="98">
        <v>46180</v>
      </c>
      <c r="B15" t="s">
        <v>673</v>
      </c>
      <c r="C15" t="s">
        <v>674</v>
      </c>
      <c r="D15">
        <v>794861894</v>
      </c>
      <c r="E15">
        <v>700539923</v>
      </c>
      <c r="F15">
        <v>10000</v>
      </c>
      <c r="G15" t="s">
        <v>412</v>
      </c>
      <c r="H15">
        <v>500</v>
      </c>
      <c r="I15">
        <v>3000</v>
      </c>
      <c r="J15">
        <v>13000</v>
      </c>
      <c r="K15">
        <v>2167</v>
      </c>
      <c r="L15">
        <v>6501</v>
      </c>
      <c r="M15">
        <v>6499</v>
      </c>
      <c r="N15" t="s">
        <v>657</v>
      </c>
    </row>
    <row r="16" spans="1:14">
      <c r="A16" s="98">
        <v>46180</v>
      </c>
      <c r="B16" t="s">
        <v>288</v>
      </c>
      <c r="C16" t="s">
        <v>675</v>
      </c>
      <c r="D16">
        <v>719105265</v>
      </c>
      <c r="E16">
        <v>726580019</v>
      </c>
      <c r="F16">
        <v>10000</v>
      </c>
      <c r="G16" t="s">
        <v>412</v>
      </c>
      <c r="H16">
        <v>500</v>
      </c>
      <c r="I16">
        <v>3000</v>
      </c>
      <c r="J16">
        <v>13000</v>
      </c>
      <c r="K16">
        <v>2167</v>
      </c>
      <c r="L16">
        <v>6501</v>
      </c>
      <c r="M16">
        <v>6499</v>
      </c>
      <c r="N16" t="s">
        <v>66</v>
      </c>
    </row>
    <row r="17" spans="1:14">
      <c r="A17" s="98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412</v>
      </c>
      <c r="H17">
        <v>500</v>
      </c>
      <c r="I17">
        <v>3600</v>
      </c>
      <c r="J17">
        <v>15600</v>
      </c>
      <c r="K17">
        <v>2600</v>
      </c>
      <c r="L17">
        <v>7800</v>
      </c>
      <c r="M17">
        <v>7800</v>
      </c>
      <c r="N17" t="s">
        <v>43</v>
      </c>
    </row>
    <row r="18" spans="1:14">
      <c r="A18" s="98">
        <v>46180</v>
      </c>
      <c r="B18" t="s">
        <v>247</v>
      </c>
      <c r="C18" t="s">
        <v>676</v>
      </c>
      <c r="D18">
        <v>704424647</v>
      </c>
      <c r="E18">
        <v>711767396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6501</v>
      </c>
      <c r="M18">
        <v>6499</v>
      </c>
      <c r="N18" t="s">
        <v>43</v>
      </c>
    </row>
    <row r="19" spans="1:14">
      <c r="A19" s="98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412</v>
      </c>
      <c r="H19">
        <v>500</v>
      </c>
      <c r="I19">
        <v>6000</v>
      </c>
      <c r="J19">
        <v>26000</v>
      </c>
      <c r="K19">
        <v>4334</v>
      </c>
      <c r="L19">
        <v>13002</v>
      </c>
      <c r="M19">
        <v>13000</v>
      </c>
      <c r="N19" t="s">
        <v>43</v>
      </c>
    </row>
    <row r="20" spans="1:14">
      <c r="A20" s="98">
        <v>46180</v>
      </c>
      <c r="B20" t="s">
        <v>677</v>
      </c>
      <c r="C20" t="s">
        <v>117</v>
      </c>
      <c r="D20">
        <v>723495587</v>
      </c>
      <c r="E20">
        <v>729417206</v>
      </c>
      <c r="F20">
        <v>15000</v>
      </c>
      <c r="G20" t="s">
        <v>412</v>
      </c>
      <c r="H20">
        <v>500</v>
      </c>
      <c r="I20">
        <v>4500</v>
      </c>
      <c r="J20">
        <v>19500</v>
      </c>
      <c r="K20">
        <v>3250</v>
      </c>
      <c r="L20">
        <v>9750</v>
      </c>
      <c r="M20">
        <v>9750</v>
      </c>
      <c r="N20" t="s">
        <v>43</v>
      </c>
    </row>
    <row r="21" spans="1:14">
      <c r="A21" s="98">
        <v>46180</v>
      </c>
      <c r="B21" t="s">
        <v>678</v>
      </c>
      <c r="C21" t="s">
        <v>679</v>
      </c>
      <c r="D21">
        <v>712876987</v>
      </c>
      <c r="E21">
        <v>715369788</v>
      </c>
      <c r="F21">
        <v>7000</v>
      </c>
      <c r="G21" t="s">
        <v>412</v>
      </c>
      <c r="H21">
        <v>500</v>
      </c>
      <c r="I21">
        <v>3000</v>
      </c>
      <c r="J21">
        <v>10000</v>
      </c>
      <c r="K21">
        <v>1667</v>
      </c>
      <c r="L21">
        <v>5001</v>
      </c>
      <c r="M21">
        <v>4999</v>
      </c>
      <c r="N21" t="s">
        <v>657</v>
      </c>
    </row>
    <row r="22" spans="1:14">
      <c r="A22" s="98">
        <v>46180</v>
      </c>
      <c r="B22" t="s">
        <v>335</v>
      </c>
      <c r="C22" t="s">
        <v>680</v>
      </c>
      <c r="D22">
        <v>703915750</v>
      </c>
      <c r="E22">
        <v>720024027</v>
      </c>
      <c r="F22">
        <v>7000</v>
      </c>
      <c r="G22" t="s">
        <v>412</v>
      </c>
      <c r="H22">
        <v>500</v>
      </c>
      <c r="I22">
        <v>3000</v>
      </c>
      <c r="J22">
        <v>10000</v>
      </c>
      <c r="K22">
        <v>1667</v>
      </c>
      <c r="L22">
        <v>5001</v>
      </c>
      <c r="M22">
        <v>4999</v>
      </c>
      <c r="N22" t="s">
        <v>66</v>
      </c>
    </row>
    <row r="23" spans="1:14">
      <c r="A23" s="98">
        <v>46180</v>
      </c>
      <c r="B23" t="s">
        <v>681</v>
      </c>
      <c r="C23" t="s">
        <v>682</v>
      </c>
      <c r="D23">
        <v>720552419</v>
      </c>
      <c r="E23">
        <v>756240295</v>
      </c>
      <c r="F23">
        <v>7000</v>
      </c>
      <c r="G23" t="s">
        <v>413</v>
      </c>
      <c r="H23">
        <v>500</v>
      </c>
      <c r="I23">
        <v>2000</v>
      </c>
      <c r="J23">
        <v>9000</v>
      </c>
      <c r="K23">
        <v>2250</v>
      </c>
      <c r="L23">
        <v>6750</v>
      </c>
      <c r="M23">
        <v>2250</v>
      </c>
      <c r="N23" t="s">
        <v>66</v>
      </c>
    </row>
    <row r="24" spans="1:14">
      <c r="A24" s="98">
        <v>46180</v>
      </c>
      <c r="B24" t="s">
        <v>32</v>
      </c>
      <c r="C24" t="s">
        <v>683</v>
      </c>
      <c r="D24">
        <v>711227118</v>
      </c>
      <c r="E24">
        <v>724382862</v>
      </c>
      <c r="F24">
        <v>30000</v>
      </c>
      <c r="G24" t="s">
        <v>412</v>
      </c>
      <c r="H24">
        <v>500</v>
      </c>
      <c r="I24">
        <v>10500</v>
      </c>
      <c r="J24">
        <v>40500</v>
      </c>
      <c r="K24">
        <v>6750</v>
      </c>
      <c r="L24">
        <v>20250</v>
      </c>
      <c r="M24">
        <v>20250</v>
      </c>
      <c r="N24" t="s">
        <v>657</v>
      </c>
    </row>
    <row r="25" spans="1:14">
      <c r="A25" s="98">
        <v>46180</v>
      </c>
      <c r="B25" t="s">
        <v>161</v>
      </c>
      <c r="C25" t="s">
        <v>684</v>
      </c>
      <c r="D25">
        <v>724836941</v>
      </c>
      <c r="E25">
        <v>743320897</v>
      </c>
      <c r="F25">
        <v>10000</v>
      </c>
      <c r="G25" t="s">
        <v>413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>
      <c r="A26" s="98">
        <v>46180</v>
      </c>
      <c r="B26" t="s">
        <v>303</v>
      </c>
      <c r="C26" t="s">
        <v>685</v>
      </c>
      <c r="D26">
        <v>743725400</v>
      </c>
      <c r="E26">
        <v>769386968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3334</v>
      </c>
      <c r="M26">
        <v>6666</v>
      </c>
      <c r="N26" t="s">
        <v>66</v>
      </c>
    </row>
    <row r="27" spans="1:14">
      <c r="A27" s="98">
        <v>46180</v>
      </c>
      <c r="B27" t="s">
        <v>339</v>
      </c>
      <c r="C27" t="s">
        <v>686</v>
      </c>
      <c r="D27">
        <v>715747806</v>
      </c>
      <c r="E27">
        <v>798764337</v>
      </c>
      <c r="F27">
        <v>7000</v>
      </c>
      <c r="G27" t="s">
        <v>412</v>
      </c>
      <c r="H27">
        <v>500</v>
      </c>
      <c r="I27">
        <v>3000</v>
      </c>
      <c r="J27">
        <v>10000</v>
      </c>
      <c r="K27">
        <v>1667</v>
      </c>
      <c r="L27">
        <v>3334</v>
      </c>
      <c r="M27">
        <v>6666</v>
      </c>
      <c r="N27" t="s">
        <v>66</v>
      </c>
    </row>
    <row r="28" spans="1:14">
      <c r="A28" s="98">
        <v>46210</v>
      </c>
      <c r="B28" t="s">
        <v>687</v>
      </c>
      <c r="C28" t="s">
        <v>428</v>
      </c>
      <c r="D28">
        <v>740548417</v>
      </c>
      <c r="E28">
        <v>728108487</v>
      </c>
      <c r="F28">
        <v>5000</v>
      </c>
      <c r="G28" t="s">
        <v>413</v>
      </c>
      <c r="H28">
        <v>500</v>
      </c>
      <c r="I28">
        <v>1000</v>
      </c>
      <c r="J28">
        <v>6000</v>
      </c>
      <c r="K28">
        <v>1500</v>
      </c>
      <c r="L28">
        <v>4500</v>
      </c>
      <c r="M28">
        <v>1500</v>
      </c>
      <c r="N28" t="s">
        <v>43</v>
      </c>
    </row>
    <row r="29" spans="1:14">
      <c r="A29" s="98">
        <v>46210</v>
      </c>
      <c r="B29" t="s">
        <v>688</v>
      </c>
      <c r="C29" t="s">
        <v>689</v>
      </c>
      <c r="D29">
        <v>721318231</v>
      </c>
      <c r="E29">
        <v>705850703</v>
      </c>
      <c r="F29">
        <v>7000</v>
      </c>
      <c r="G29" t="s">
        <v>412</v>
      </c>
      <c r="H29">
        <v>500</v>
      </c>
      <c r="I29">
        <v>3000</v>
      </c>
      <c r="J29">
        <v>10000</v>
      </c>
      <c r="K29">
        <v>1667</v>
      </c>
      <c r="L29">
        <v>5001</v>
      </c>
      <c r="M29">
        <v>4999</v>
      </c>
      <c r="N29" t="s">
        <v>43</v>
      </c>
    </row>
    <row r="30" spans="1:14">
      <c r="A30" s="98">
        <v>46209</v>
      </c>
      <c r="B30" t="s">
        <v>690</v>
      </c>
      <c r="C30" t="s">
        <v>633</v>
      </c>
      <c r="D30">
        <v>724051213</v>
      </c>
      <c r="E30">
        <v>707234349</v>
      </c>
      <c r="F30">
        <v>7000</v>
      </c>
      <c r="G30" t="s">
        <v>412</v>
      </c>
      <c r="H30">
        <v>500</v>
      </c>
      <c r="I30">
        <v>3000</v>
      </c>
      <c r="J30">
        <v>10000</v>
      </c>
      <c r="K30">
        <v>1667</v>
      </c>
      <c r="L30">
        <v>4934</v>
      </c>
      <c r="M30">
        <v>5066</v>
      </c>
      <c r="N30" t="s">
        <v>66</v>
      </c>
    </row>
    <row r="31" spans="1:14">
      <c r="A31" s="98">
        <v>46210</v>
      </c>
      <c r="B31" t="s">
        <v>146</v>
      </c>
      <c r="C31" t="s">
        <v>691</v>
      </c>
      <c r="D31">
        <v>793621965</v>
      </c>
      <c r="E31">
        <v>728627914</v>
      </c>
      <c r="F31">
        <v>25000</v>
      </c>
      <c r="G31" t="s">
        <v>412</v>
      </c>
      <c r="H31">
        <v>500</v>
      </c>
      <c r="I31">
        <v>9050</v>
      </c>
      <c r="J31">
        <v>34050</v>
      </c>
      <c r="K31">
        <v>5675</v>
      </c>
      <c r="L31">
        <v>11350</v>
      </c>
      <c r="M31">
        <v>22700</v>
      </c>
      <c r="N31" t="s">
        <v>66</v>
      </c>
    </row>
    <row r="32" spans="1:14">
      <c r="A32" s="98">
        <v>46210</v>
      </c>
      <c r="B32" t="s">
        <v>692</v>
      </c>
      <c r="C32" t="s">
        <v>27</v>
      </c>
      <c r="D32">
        <v>715365131</v>
      </c>
      <c r="E32">
        <v>713543764</v>
      </c>
      <c r="F32">
        <v>10000</v>
      </c>
      <c r="G32" t="s">
        <v>412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657</v>
      </c>
    </row>
    <row r="33" spans="1:14">
      <c r="A33" s="98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412</v>
      </c>
      <c r="H33">
        <v>500</v>
      </c>
      <c r="I33">
        <v>4500</v>
      </c>
      <c r="J33">
        <v>19500</v>
      </c>
      <c r="K33">
        <v>3250</v>
      </c>
      <c r="L33">
        <v>3040</v>
      </c>
      <c r="M33">
        <v>16460</v>
      </c>
      <c r="N33" t="s">
        <v>657</v>
      </c>
    </row>
    <row r="34" spans="1:14">
      <c r="A34" s="98">
        <v>46209</v>
      </c>
      <c r="B34" t="s">
        <v>341</v>
      </c>
      <c r="C34" t="s">
        <v>697</v>
      </c>
      <c r="D34">
        <v>700480519</v>
      </c>
      <c r="E34">
        <v>715873084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1667</v>
      </c>
      <c r="L34">
        <v>5001</v>
      </c>
      <c r="M34">
        <v>4999</v>
      </c>
      <c r="N34" t="s">
        <v>657</v>
      </c>
    </row>
    <row r="35" spans="1:14">
      <c r="A35" s="98">
        <v>46241</v>
      </c>
      <c r="B35" t="s">
        <v>156</v>
      </c>
      <c r="C35" t="s">
        <v>527</v>
      </c>
      <c r="D35">
        <v>727698567</v>
      </c>
      <c r="E35">
        <v>719506554</v>
      </c>
      <c r="F35">
        <v>18000</v>
      </c>
      <c r="G35" t="s">
        <v>413</v>
      </c>
      <c r="H35">
        <v>500</v>
      </c>
      <c r="I35">
        <v>3000</v>
      </c>
      <c r="J35">
        <v>21000</v>
      </c>
      <c r="K35">
        <v>5400</v>
      </c>
      <c r="L35">
        <v>16200</v>
      </c>
      <c r="M35">
        <v>5400</v>
      </c>
      <c r="N35" t="s">
        <v>657</v>
      </c>
    </row>
    <row r="36" spans="1:14">
      <c r="A36" s="98">
        <v>46241</v>
      </c>
      <c r="B36" t="s">
        <v>693</v>
      </c>
      <c r="C36" t="s">
        <v>694</v>
      </c>
      <c r="D36">
        <v>705557044</v>
      </c>
      <c r="E36">
        <v>792871335</v>
      </c>
      <c r="F36">
        <v>5000</v>
      </c>
      <c r="G36" t="s">
        <v>413</v>
      </c>
      <c r="H36">
        <v>500</v>
      </c>
      <c r="I36">
        <v>1000</v>
      </c>
      <c r="J36">
        <v>6000</v>
      </c>
      <c r="K36">
        <v>1500</v>
      </c>
      <c r="L36">
        <v>4000</v>
      </c>
      <c r="M36">
        <v>2000</v>
      </c>
      <c r="N36" t="s">
        <v>657</v>
      </c>
    </row>
    <row r="37" spans="1:14">
      <c r="A37" s="98">
        <v>46241</v>
      </c>
      <c r="B37" t="s">
        <v>695</v>
      </c>
      <c r="C37" t="s">
        <v>696</v>
      </c>
      <c r="D37">
        <v>791046162</v>
      </c>
      <c r="E37">
        <v>714388690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5001</v>
      </c>
      <c r="M37">
        <v>4999</v>
      </c>
      <c r="N37" t="s">
        <v>66</v>
      </c>
    </row>
    <row r="38" spans="1:14">
      <c r="A38" s="98">
        <v>46241</v>
      </c>
      <c r="B38" t="s">
        <v>528</v>
      </c>
      <c r="C38" t="s">
        <v>294</v>
      </c>
      <c r="D38">
        <v>724350985</v>
      </c>
      <c r="E38">
        <v>796102762</v>
      </c>
      <c r="F38">
        <v>14000</v>
      </c>
      <c r="G38" t="s">
        <v>412</v>
      </c>
      <c r="H38">
        <v>500</v>
      </c>
      <c r="I38">
        <v>4200</v>
      </c>
      <c r="J38">
        <v>18200</v>
      </c>
      <c r="K38">
        <v>3034</v>
      </c>
      <c r="L38">
        <v>9102</v>
      </c>
      <c r="M38">
        <v>9102</v>
      </c>
      <c r="N38" t="s">
        <v>66</v>
      </c>
    </row>
    <row r="39" spans="1:14">
      <c r="A39" s="98">
        <v>46241</v>
      </c>
      <c r="B39" t="s">
        <v>596</v>
      </c>
      <c r="C39" t="s">
        <v>698</v>
      </c>
      <c r="D39">
        <v>116140156</v>
      </c>
      <c r="E39">
        <v>798372422</v>
      </c>
      <c r="F39">
        <v>15000</v>
      </c>
      <c r="G39" t="s">
        <v>412</v>
      </c>
      <c r="H39">
        <v>500</v>
      </c>
      <c r="I39">
        <v>4500</v>
      </c>
      <c r="J39">
        <v>19500</v>
      </c>
      <c r="K39">
        <v>3250</v>
      </c>
      <c r="L39">
        <v>9750</v>
      </c>
      <c r="M39">
        <v>9750</v>
      </c>
      <c r="N39" t="s">
        <v>43</v>
      </c>
    </row>
    <row r="40" spans="1:14">
      <c r="A40" s="98">
        <v>46241</v>
      </c>
      <c r="B40" t="s">
        <v>699</v>
      </c>
      <c r="C40" t="s">
        <v>700</v>
      </c>
      <c r="D40">
        <v>725709459</v>
      </c>
      <c r="E40">
        <v>722416830</v>
      </c>
      <c r="F40">
        <v>7000</v>
      </c>
      <c r="G40" t="s">
        <v>412</v>
      </c>
      <c r="H40">
        <v>500</v>
      </c>
      <c r="I40">
        <v>3000</v>
      </c>
      <c r="J40">
        <v>10000</v>
      </c>
      <c r="K40">
        <v>1667</v>
      </c>
      <c r="L40">
        <v>5001</v>
      </c>
      <c r="M40">
        <v>4999</v>
      </c>
      <c r="N40" t="s">
        <v>43</v>
      </c>
    </row>
    <row r="41" spans="1:14">
      <c r="A41" s="98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412</v>
      </c>
      <c r="H41">
        <v>500</v>
      </c>
      <c r="I41">
        <v>3000</v>
      </c>
      <c r="J41">
        <v>10000</v>
      </c>
      <c r="K41">
        <v>1667</v>
      </c>
      <c r="L41">
        <v>1667</v>
      </c>
      <c r="M41">
        <v>8333</v>
      </c>
      <c r="N41" t="s">
        <v>66</v>
      </c>
    </row>
    <row r="42" spans="1:14">
      <c r="A42" s="98">
        <v>46272</v>
      </c>
      <c r="B42" t="s">
        <v>701</v>
      </c>
      <c r="C42" t="s">
        <v>702</v>
      </c>
      <c r="D42">
        <v>714734249</v>
      </c>
      <c r="E42">
        <v>700771840</v>
      </c>
      <c r="F42">
        <v>7000</v>
      </c>
      <c r="G42" t="s">
        <v>412</v>
      </c>
      <c r="H42">
        <v>500</v>
      </c>
      <c r="I42">
        <v>3000</v>
      </c>
      <c r="J42">
        <v>10000</v>
      </c>
      <c r="K42">
        <v>1667</v>
      </c>
      <c r="L42">
        <v>3334</v>
      </c>
      <c r="M42">
        <v>6666</v>
      </c>
      <c r="N42" t="s">
        <v>66</v>
      </c>
    </row>
    <row r="43" spans="1:14">
      <c r="A43" s="98">
        <v>46272</v>
      </c>
      <c r="B43" t="s">
        <v>128</v>
      </c>
      <c r="C43" t="s">
        <v>703</v>
      </c>
      <c r="D43">
        <v>769694106</v>
      </c>
      <c r="E43">
        <v>769228244</v>
      </c>
      <c r="F43">
        <v>10000</v>
      </c>
      <c r="G43" t="s">
        <v>413</v>
      </c>
      <c r="H43">
        <v>500</v>
      </c>
      <c r="I43">
        <v>2000</v>
      </c>
      <c r="J43">
        <v>7000</v>
      </c>
      <c r="K43">
        <v>3000</v>
      </c>
      <c r="L43">
        <v>6000</v>
      </c>
      <c r="M43">
        <v>6000</v>
      </c>
      <c r="N43" t="s">
        <v>657</v>
      </c>
    </row>
    <row r="44" spans="1:14">
      <c r="A44" s="98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412</v>
      </c>
      <c r="H44">
        <v>500</v>
      </c>
      <c r="I44">
        <v>3000</v>
      </c>
      <c r="J44">
        <v>13000</v>
      </c>
      <c r="K44">
        <v>2167</v>
      </c>
      <c r="L44">
        <v>6501</v>
      </c>
      <c r="M44">
        <v>6499</v>
      </c>
      <c r="N44" t="s">
        <v>43</v>
      </c>
    </row>
    <row r="45" spans="1:14">
      <c r="A45" s="98">
        <v>46272</v>
      </c>
      <c r="B45" t="s">
        <v>564</v>
      </c>
      <c r="C45" t="s">
        <v>704</v>
      </c>
      <c r="D45">
        <v>743647697</v>
      </c>
      <c r="E45">
        <v>741796731</v>
      </c>
      <c r="F45">
        <v>7000</v>
      </c>
      <c r="G45" t="s">
        <v>413</v>
      </c>
      <c r="H45">
        <v>500</v>
      </c>
      <c r="I45">
        <v>2000</v>
      </c>
      <c r="J45">
        <v>9000</v>
      </c>
      <c r="K45">
        <v>2250</v>
      </c>
      <c r="L45">
        <v>2250</v>
      </c>
      <c r="M45">
        <v>6750</v>
      </c>
      <c r="N45" t="s">
        <v>66</v>
      </c>
    </row>
    <row r="46" spans="1:14">
      <c r="A46" s="98">
        <v>46272</v>
      </c>
      <c r="B46" t="s">
        <v>705</v>
      </c>
      <c r="C46" t="s">
        <v>542</v>
      </c>
      <c r="D46">
        <v>746811444</v>
      </c>
      <c r="E46">
        <v>115403692</v>
      </c>
      <c r="F46">
        <v>8000</v>
      </c>
      <c r="G46" t="s">
        <v>412</v>
      </c>
      <c r="H46">
        <v>500</v>
      </c>
      <c r="I46">
        <v>3000</v>
      </c>
      <c r="J46">
        <v>11000</v>
      </c>
      <c r="K46">
        <v>1834</v>
      </c>
      <c r="L46">
        <v>3334</v>
      </c>
      <c r="M46">
        <v>7666</v>
      </c>
      <c r="N46" t="s">
        <v>43</v>
      </c>
    </row>
    <row r="47" spans="1:14">
      <c r="A47" s="98">
        <v>46272</v>
      </c>
      <c r="B47" t="s">
        <v>706</v>
      </c>
      <c r="C47" t="s">
        <v>178</v>
      </c>
      <c r="D47">
        <v>790244173</v>
      </c>
      <c r="E47">
        <v>768208209</v>
      </c>
      <c r="F47">
        <v>10000</v>
      </c>
      <c r="G47" t="s">
        <v>412</v>
      </c>
      <c r="H47">
        <v>500</v>
      </c>
      <c r="I47">
        <v>3000</v>
      </c>
      <c r="J47">
        <v>13000</v>
      </c>
      <c r="K47">
        <v>2167</v>
      </c>
      <c r="L47">
        <v>6501</v>
      </c>
      <c r="M47">
        <v>6499</v>
      </c>
      <c r="N47" t="s">
        <v>657</v>
      </c>
    </row>
    <row r="48" spans="1:14">
      <c r="A48" s="98">
        <v>46302</v>
      </c>
      <c r="B48" t="s">
        <v>707</v>
      </c>
      <c r="C48" t="s">
        <v>708</v>
      </c>
      <c r="D48">
        <v>700132036</v>
      </c>
      <c r="E48">
        <v>759261142</v>
      </c>
      <c r="F48">
        <v>5000</v>
      </c>
      <c r="G48" t="s">
        <v>413</v>
      </c>
      <c r="H48">
        <v>500</v>
      </c>
      <c r="I48">
        <v>1000</v>
      </c>
      <c r="J48">
        <v>6000</v>
      </c>
      <c r="K48">
        <v>1500</v>
      </c>
      <c r="L48">
        <v>1900</v>
      </c>
      <c r="M48">
        <v>4100</v>
      </c>
      <c r="N48" t="s">
        <v>43</v>
      </c>
    </row>
    <row r="49" spans="1:14">
      <c r="A49" s="98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412</v>
      </c>
      <c r="H49">
        <v>500</v>
      </c>
      <c r="I49">
        <v>3000</v>
      </c>
      <c r="J49">
        <v>10000</v>
      </c>
      <c r="K49">
        <v>1667</v>
      </c>
      <c r="L49">
        <v>3334</v>
      </c>
      <c r="M49">
        <v>6666</v>
      </c>
      <c r="N49" t="s">
        <v>66</v>
      </c>
    </row>
    <row r="50" spans="1:14">
      <c r="A50" s="98">
        <v>46302</v>
      </c>
      <c r="B50" t="s">
        <v>498</v>
      </c>
      <c r="C50" t="s">
        <v>499</v>
      </c>
      <c r="D50">
        <v>768824476</v>
      </c>
      <c r="E50">
        <v>768094794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3334</v>
      </c>
      <c r="M50">
        <v>6666</v>
      </c>
      <c r="N50" t="s">
        <v>43</v>
      </c>
    </row>
    <row r="51" spans="1:14">
      <c r="A51" t="s">
        <v>709</v>
      </c>
      <c r="B51" t="s">
        <v>540</v>
      </c>
      <c r="C51" t="s">
        <v>710</v>
      </c>
      <c r="D51">
        <v>758991413</v>
      </c>
      <c r="E51">
        <v>752560980</v>
      </c>
      <c r="F51">
        <v>9000</v>
      </c>
      <c r="G51" t="s">
        <v>412</v>
      </c>
      <c r="H51">
        <v>500</v>
      </c>
      <c r="I51">
        <v>3000</v>
      </c>
      <c r="J51">
        <v>11000</v>
      </c>
      <c r="K51">
        <v>2000</v>
      </c>
      <c r="L51">
        <v>2000</v>
      </c>
      <c r="M51">
        <v>9000</v>
      </c>
      <c r="N51" t="s">
        <v>657</v>
      </c>
    </row>
    <row r="52" spans="1:14">
      <c r="A52" t="s">
        <v>709</v>
      </c>
      <c r="B52" t="s">
        <v>284</v>
      </c>
      <c r="C52" t="s">
        <v>711</v>
      </c>
      <c r="D52">
        <v>715228494</v>
      </c>
      <c r="E52">
        <v>727816849</v>
      </c>
      <c r="F52">
        <v>10000</v>
      </c>
      <c r="G52" t="s">
        <v>413</v>
      </c>
      <c r="H52">
        <v>500</v>
      </c>
      <c r="I52">
        <v>3000</v>
      </c>
      <c r="J52">
        <v>13000</v>
      </c>
      <c r="K52">
        <v>3000</v>
      </c>
      <c r="L52">
        <v>6000</v>
      </c>
      <c r="M52">
        <v>6000</v>
      </c>
      <c r="N52" t="s">
        <v>66</v>
      </c>
    </row>
    <row r="53" spans="1:14">
      <c r="A53" t="s">
        <v>712</v>
      </c>
      <c r="B53" t="s">
        <v>713</v>
      </c>
      <c r="C53" t="s">
        <v>714</v>
      </c>
      <c r="D53">
        <v>798632927</v>
      </c>
      <c r="E53">
        <v>720323599</v>
      </c>
      <c r="F53">
        <v>10000</v>
      </c>
      <c r="G53" t="s">
        <v>413</v>
      </c>
      <c r="H53">
        <v>500</v>
      </c>
      <c r="I53">
        <v>3000</v>
      </c>
      <c r="J53">
        <v>13000</v>
      </c>
      <c r="K53">
        <v>3000</v>
      </c>
      <c r="L53">
        <v>6000</v>
      </c>
      <c r="M53">
        <v>6000</v>
      </c>
      <c r="N53" t="s">
        <v>66</v>
      </c>
    </row>
    <row r="54" spans="1:14">
      <c r="A54" t="s">
        <v>709</v>
      </c>
      <c r="B54" t="s">
        <v>715</v>
      </c>
      <c r="C54" t="s">
        <v>497</v>
      </c>
      <c r="D54">
        <v>748261697</v>
      </c>
      <c r="E54">
        <v>792748608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700</v>
      </c>
      <c r="M54">
        <v>9300</v>
      </c>
      <c r="N54" t="s">
        <v>43</v>
      </c>
    </row>
    <row r="55" spans="1:14">
      <c r="A55" t="s">
        <v>709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412</v>
      </c>
      <c r="H55">
        <v>500</v>
      </c>
      <c r="I55">
        <v>3000</v>
      </c>
      <c r="J55">
        <v>13000</v>
      </c>
      <c r="K55">
        <v>2167</v>
      </c>
      <c r="L55">
        <v>4334</v>
      </c>
      <c r="M55">
        <v>8666</v>
      </c>
      <c r="N55" t="s">
        <v>43</v>
      </c>
    </row>
    <row r="56" spans="1:14">
      <c r="A56" t="s">
        <v>709</v>
      </c>
      <c r="B56" t="s">
        <v>69</v>
      </c>
      <c r="C56" t="s">
        <v>568</v>
      </c>
      <c r="D56">
        <v>727877025</v>
      </c>
      <c r="E56">
        <v>726297808</v>
      </c>
      <c r="F56">
        <v>7000</v>
      </c>
      <c r="G56" t="s">
        <v>412</v>
      </c>
      <c r="H56">
        <v>500</v>
      </c>
      <c r="I56">
        <v>3000</v>
      </c>
      <c r="J56">
        <v>10000</v>
      </c>
      <c r="K56">
        <v>1667</v>
      </c>
      <c r="L56">
        <v>3334</v>
      </c>
      <c r="M56">
        <v>6666</v>
      </c>
      <c r="N56" t="s">
        <v>43</v>
      </c>
    </row>
    <row r="57" spans="1:14">
      <c r="A57" t="s">
        <v>709</v>
      </c>
      <c r="B57" t="s">
        <v>593</v>
      </c>
      <c r="C57" t="s">
        <v>716</v>
      </c>
      <c r="D57">
        <v>721572161</v>
      </c>
      <c r="E57">
        <v>734256765</v>
      </c>
      <c r="F57">
        <v>15000</v>
      </c>
      <c r="G57" t="s">
        <v>412</v>
      </c>
      <c r="H57">
        <v>500</v>
      </c>
      <c r="I57">
        <v>4500</v>
      </c>
      <c r="J57">
        <v>19500</v>
      </c>
      <c r="K57">
        <v>3250</v>
      </c>
      <c r="L57">
        <v>3250</v>
      </c>
      <c r="M57">
        <v>16250</v>
      </c>
      <c r="N57" t="s">
        <v>66</v>
      </c>
    </row>
    <row r="58" spans="1:14">
      <c r="A58" t="s">
        <v>709</v>
      </c>
      <c r="B58" t="s">
        <v>717</v>
      </c>
      <c r="C58" t="s">
        <v>718</v>
      </c>
      <c r="D58">
        <v>711312215</v>
      </c>
      <c r="E58">
        <v>790646590</v>
      </c>
      <c r="F58">
        <v>12000</v>
      </c>
      <c r="G58" t="s">
        <v>412</v>
      </c>
      <c r="H58">
        <v>500</v>
      </c>
      <c r="I58">
        <v>3600</v>
      </c>
      <c r="J58">
        <v>15600</v>
      </c>
      <c r="K58">
        <v>2600</v>
      </c>
      <c r="L58">
        <v>2600</v>
      </c>
      <c r="M58">
        <v>13000</v>
      </c>
      <c r="N58" t="s">
        <v>43</v>
      </c>
    </row>
    <row r="59" spans="1:14">
      <c r="A59" t="s">
        <v>709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412</v>
      </c>
      <c r="H59">
        <v>500</v>
      </c>
      <c r="I59">
        <v>3000</v>
      </c>
      <c r="J59">
        <v>13000</v>
      </c>
      <c r="K59">
        <v>2167</v>
      </c>
      <c r="L59">
        <v>4334</v>
      </c>
      <c r="M59">
        <v>8666</v>
      </c>
      <c r="N59" t="s">
        <v>43</v>
      </c>
    </row>
    <row r="60" spans="1:14">
      <c r="A60" t="s">
        <v>709</v>
      </c>
      <c r="B60" t="s">
        <v>719</v>
      </c>
      <c r="C60" t="s">
        <v>720</v>
      </c>
      <c r="D60">
        <v>718400068</v>
      </c>
      <c r="E60">
        <v>700515009</v>
      </c>
      <c r="F60">
        <v>10000</v>
      </c>
      <c r="G60" t="s">
        <v>412</v>
      </c>
      <c r="H60">
        <v>500</v>
      </c>
      <c r="I60">
        <v>3000</v>
      </c>
      <c r="J60">
        <v>13000</v>
      </c>
      <c r="K60">
        <v>2167</v>
      </c>
      <c r="L60">
        <v>4334</v>
      </c>
      <c r="M60">
        <v>8666</v>
      </c>
      <c r="N60" t="s">
        <v>66</v>
      </c>
    </row>
    <row r="61" spans="1:14">
      <c r="A61" t="s">
        <v>709</v>
      </c>
      <c r="B61" t="s">
        <v>97</v>
      </c>
      <c r="C61" t="s">
        <v>721</v>
      </c>
      <c r="D61">
        <v>714359854</v>
      </c>
      <c r="E61">
        <v>715778506</v>
      </c>
      <c r="F61">
        <v>25000</v>
      </c>
      <c r="G61" t="s">
        <v>412</v>
      </c>
      <c r="H61">
        <v>500</v>
      </c>
      <c r="I61">
        <v>9050</v>
      </c>
      <c r="J61">
        <v>34050</v>
      </c>
      <c r="K61">
        <v>5675</v>
      </c>
      <c r="L61">
        <v>11350</v>
      </c>
      <c r="M61">
        <v>22700</v>
      </c>
      <c r="N61" t="s">
        <v>43</v>
      </c>
    </row>
    <row r="62" spans="1:14">
      <c r="A62" t="s">
        <v>722</v>
      </c>
      <c r="B62" t="s">
        <v>618</v>
      </c>
      <c r="C62" t="s">
        <v>189</v>
      </c>
      <c r="D62">
        <v>769409406</v>
      </c>
      <c r="E62">
        <v>700469416</v>
      </c>
      <c r="F62">
        <v>9000</v>
      </c>
      <c r="G62" t="s">
        <v>413</v>
      </c>
      <c r="H62">
        <v>500</v>
      </c>
      <c r="I62">
        <v>2000</v>
      </c>
      <c r="J62">
        <v>11000</v>
      </c>
      <c r="K62">
        <v>2750</v>
      </c>
      <c r="L62">
        <v>2650</v>
      </c>
      <c r="M62">
        <v>8350</v>
      </c>
      <c r="N62" t="s">
        <v>66</v>
      </c>
    </row>
    <row r="63" spans="1:14">
      <c r="A63" t="s">
        <v>722</v>
      </c>
      <c r="B63" t="s">
        <v>20</v>
      </c>
      <c r="C63" t="s">
        <v>510</v>
      </c>
      <c r="D63">
        <v>711686002</v>
      </c>
      <c r="E63">
        <v>757069418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4334</v>
      </c>
      <c r="M63">
        <v>8666</v>
      </c>
      <c r="N63" t="s">
        <v>657</v>
      </c>
    </row>
    <row r="64" spans="1:14">
      <c r="A64" t="s">
        <v>722</v>
      </c>
      <c r="B64" t="s">
        <v>723</v>
      </c>
      <c r="C64" t="s">
        <v>526</v>
      </c>
      <c r="D64">
        <v>714076538</v>
      </c>
      <c r="E64">
        <v>798654955</v>
      </c>
      <c r="F64">
        <v>10000</v>
      </c>
      <c r="G64" t="s">
        <v>413</v>
      </c>
      <c r="H64">
        <v>500</v>
      </c>
      <c r="I64">
        <v>2000</v>
      </c>
      <c r="J64">
        <v>12000</v>
      </c>
      <c r="K64">
        <v>3000</v>
      </c>
      <c r="L64">
        <v>6000</v>
      </c>
      <c r="M64">
        <v>6000</v>
      </c>
      <c r="N64" t="s">
        <v>657</v>
      </c>
    </row>
    <row r="65" spans="1:14">
      <c r="A65" t="s">
        <v>722</v>
      </c>
      <c r="B65" t="s">
        <v>724</v>
      </c>
      <c r="C65" t="s">
        <v>597</v>
      </c>
      <c r="D65">
        <v>718871498</v>
      </c>
      <c r="E65">
        <v>700144012</v>
      </c>
      <c r="F65">
        <v>5000</v>
      </c>
      <c r="G65" t="s">
        <v>413</v>
      </c>
      <c r="H65">
        <v>500</v>
      </c>
      <c r="I65">
        <v>1000</v>
      </c>
      <c r="J65">
        <v>6000</v>
      </c>
      <c r="K65">
        <v>1500</v>
      </c>
      <c r="L65">
        <v>3000</v>
      </c>
      <c r="M65">
        <v>3000</v>
      </c>
      <c r="N65" t="s">
        <v>66</v>
      </c>
    </row>
    <row r="66" spans="1:14">
      <c r="A66" t="s">
        <v>722</v>
      </c>
      <c r="B66" t="s">
        <v>127</v>
      </c>
      <c r="C66" t="s">
        <v>572</v>
      </c>
      <c r="D66">
        <v>724024611</v>
      </c>
      <c r="E66">
        <v>795493127</v>
      </c>
      <c r="F66">
        <v>10000</v>
      </c>
      <c r="G66" t="s">
        <v>412</v>
      </c>
      <c r="H66">
        <v>500</v>
      </c>
      <c r="I66">
        <v>3000</v>
      </c>
      <c r="J66">
        <v>10000</v>
      </c>
      <c r="K66">
        <v>2167</v>
      </c>
      <c r="L66">
        <v>4334</v>
      </c>
      <c r="M66">
        <v>8666</v>
      </c>
      <c r="N66" t="s">
        <v>43</v>
      </c>
    </row>
    <row r="67" spans="1:14">
      <c r="A67" t="s">
        <v>722</v>
      </c>
      <c r="B67" t="s">
        <v>331</v>
      </c>
      <c r="C67" t="s">
        <v>332</v>
      </c>
      <c r="D67">
        <v>701035799</v>
      </c>
      <c r="E67">
        <v>703322932</v>
      </c>
      <c r="F67">
        <v>12000</v>
      </c>
      <c r="G67" t="s">
        <v>413</v>
      </c>
      <c r="H67">
        <v>500</v>
      </c>
      <c r="I67">
        <v>2000</v>
      </c>
      <c r="J67">
        <v>14400</v>
      </c>
      <c r="K67">
        <v>3600</v>
      </c>
      <c r="L67">
        <v>7200</v>
      </c>
      <c r="M67">
        <v>7200</v>
      </c>
      <c r="N67" t="s">
        <v>66</v>
      </c>
    </row>
    <row r="68" spans="1:14">
      <c r="A68" t="s">
        <v>725</v>
      </c>
      <c r="B68" t="s">
        <v>601</v>
      </c>
      <c r="C68" t="s">
        <v>602</v>
      </c>
      <c r="D68">
        <v>799173612</v>
      </c>
      <c r="E68">
        <v>708387501</v>
      </c>
      <c r="F68">
        <v>10000</v>
      </c>
      <c r="G68" t="s">
        <v>413</v>
      </c>
      <c r="H68">
        <v>500</v>
      </c>
      <c r="I68">
        <v>2000</v>
      </c>
      <c r="J68">
        <v>12000</v>
      </c>
      <c r="K68">
        <v>3000</v>
      </c>
      <c r="L68">
        <v>6000</v>
      </c>
      <c r="M68">
        <v>6000</v>
      </c>
      <c r="N68" t="s">
        <v>66</v>
      </c>
    </row>
    <row r="69" spans="1:14">
      <c r="A69" t="s">
        <v>725</v>
      </c>
      <c r="B69" t="s">
        <v>726</v>
      </c>
      <c r="C69" t="s">
        <v>727</v>
      </c>
      <c r="D69">
        <v>722527858</v>
      </c>
      <c r="E69">
        <v>722706813</v>
      </c>
      <c r="F69">
        <v>7000</v>
      </c>
      <c r="G69" t="s">
        <v>412</v>
      </c>
      <c r="H69">
        <v>500</v>
      </c>
      <c r="I69">
        <v>3000</v>
      </c>
      <c r="J69">
        <v>10000</v>
      </c>
      <c r="K69">
        <v>1667</v>
      </c>
      <c r="L69">
        <v>3334</v>
      </c>
      <c r="M69">
        <v>6666</v>
      </c>
      <c r="N69" t="s">
        <v>657</v>
      </c>
    </row>
    <row r="70" spans="1:14">
      <c r="A70" t="s">
        <v>725</v>
      </c>
      <c r="B70" t="s">
        <v>190</v>
      </c>
      <c r="C70" t="s">
        <v>728</v>
      </c>
      <c r="D70">
        <v>704163771</v>
      </c>
      <c r="E70">
        <v>727306592</v>
      </c>
      <c r="F70">
        <v>20000</v>
      </c>
      <c r="G70" t="s">
        <v>413</v>
      </c>
      <c r="H70">
        <v>500</v>
      </c>
      <c r="I70">
        <v>4000</v>
      </c>
      <c r="J70">
        <v>24000</v>
      </c>
      <c r="K70">
        <v>6000</v>
      </c>
      <c r="L70">
        <v>12000</v>
      </c>
      <c r="M70">
        <v>12000</v>
      </c>
      <c r="N70" t="s">
        <v>43</v>
      </c>
    </row>
    <row r="71" spans="1:14">
      <c r="A71" t="s">
        <v>725</v>
      </c>
      <c r="B71" t="s">
        <v>61</v>
      </c>
      <c r="C71" t="s">
        <v>559</v>
      </c>
      <c r="D71">
        <v>705304253</v>
      </c>
      <c r="E71">
        <v>706841567</v>
      </c>
      <c r="F71">
        <v>9000</v>
      </c>
      <c r="G71" t="s">
        <v>412</v>
      </c>
      <c r="H71">
        <v>500</v>
      </c>
      <c r="I71">
        <v>3000</v>
      </c>
      <c r="J71">
        <v>11000</v>
      </c>
      <c r="K71">
        <v>2000</v>
      </c>
      <c r="L71">
        <v>4000</v>
      </c>
      <c r="M71">
        <v>9000</v>
      </c>
      <c r="N71" t="s">
        <v>657</v>
      </c>
    </row>
    <row r="72" spans="1:14">
      <c r="A72" t="s">
        <v>725</v>
      </c>
      <c r="B72" t="s">
        <v>729</v>
      </c>
      <c r="C72" t="s">
        <v>730</v>
      </c>
      <c r="D72">
        <v>710918080</v>
      </c>
      <c r="E72">
        <v>793774262</v>
      </c>
      <c r="F72">
        <v>7000</v>
      </c>
      <c r="G72" t="s">
        <v>412</v>
      </c>
      <c r="H72">
        <v>500</v>
      </c>
      <c r="I72">
        <v>3000</v>
      </c>
      <c r="J72">
        <v>10000</v>
      </c>
      <c r="K72">
        <v>1667</v>
      </c>
      <c r="L72">
        <v>2667</v>
      </c>
      <c r="M72">
        <v>7333</v>
      </c>
      <c r="N72" t="s">
        <v>657</v>
      </c>
    </row>
    <row r="73" spans="1:14">
      <c r="A73" t="s">
        <v>725</v>
      </c>
      <c r="B73" t="s">
        <v>731</v>
      </c>
      <c r="C73" t="s">
        <v>732</v>
      </c>
      <c r="D73">
        <v>759900772</v>
      </c>
      <c r="E73">
        <v>710625385</v>
      </c>
      <c r="F73">
        <v>7000</v>
      </c>
      <c r="G73" t="s">
        <v>413</v>
      </c>
      <c r="H73">
        <v>500</v>
      </c>
      <c r="I73">
        <v>2000</v>
      </c>
      <c r="J73">
        <v>9000</v>
      </c>
      <c r="K73">
        <v>2250</v>
      </c>
      <c r="L73">
        <v>4500</v>
      </c>
      <c r="M73">
        <v>4500</v>
      </c>
      <c r="N73" t="s">
        <v>66</v>
      </c>
    </row>
    <row r="74" spans="1:14">
      <c r="A74" t="s">
        <v>733</v>
      </c>
      <c r="B74" t="s">
        <v>30</v>
      </c>
      <c r="C74" t="s">
        <v>588</v>
      </c>
      <c r="D74">
        <v>799871943</v>
      </c>
      <c r="E74">
        <v>742728359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4334</v>
      </c>
      <c r="M74">
        <v>8666</v>
      </c>
      <c r="N74" t="s">
        <v>43</v>
      </c>
    </row>
    <row r="75" spans="1:14">
      <c r="A75" t="s">
        <v>733</v>
      </c>
      <c r="B75" t="s">
        <v>155</v>
      </c>
      <c r="C75" t="s">
        <v>734</v>
      </c>
      <c r="D75">
        <v>720241837</v>
      </c>
      <c r="E75">
        <v>794326731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6000</v>
      </c>
      <c r="M75">
        <v>6000</v>
      </c>
      <c r="N75" t="s">
        <v>66</v>
      </c>
    </row>
    <row r="76" spans="1:14">
      <c r="A76" t="s">
        <v>733</v>
      </c>
      <c r="B76" t="s">
        <v>735</v>
      </c>
      <c r="C76" t="s">
        <v>736</v>
      </c>
      <c r="D76">
        <v>723519085</v>
      </c>
      <c r="E76">
        <v>712989540</v>
      </c>
      <c r="F76">
        <v>10000</v>
      </c>
      <c r="G76" t="s">
        <v>412</v>
      </c>
      <c r="H76">
        <v>500</v>
      </c>
      <c r="I76">
        <v>3000</v>
      </c>
      <c r="J76">
        <v>13000</v>
      </c>
      <c r="K76">
        <v>2167</v>
      </c>
      <c r="L76">
        <v>4334</v>
      </c>
      <c r="M76">
        <v>8666</v>
      </c>
      <c r="N76" t="s">
        <v>66</v>
      </c>
    </row>
    <row r="77" spans="1:14">
      <c r="A77" t="s">
        <v>733</v>
      </c>
      <c r="B77" t="s">
        <v>737</v>
      </c>
      <c r="C77" t="s">
        <v>746</v>
      </c>
      <c r="D77">
        <v>115480067</v>
      </c>
      <c r="E77">
        <v>115944640</v>
      </c>
      <c r="F77">
        <v>5000</v>
      </c>
      <c r="G77" t="s">
        <v>413</v>
      </c>
      <c r="H77">
        <v>500</v>
      </c>
      <c r="I77">
        <v>1000</v>
      </c>
      <c r="J77">
        <v>6000</v>
      </c>
      <c r="K77">
        <v>1500</v>
      </c>
      <c r="L77">
        <v>1500</v>
      </c>
      <c r="M77">
        <v>4500</v>
      </c>
      <c r="N77" t="s">
        <v>66</v>
      </c>
    </row>
    <row r="78" spans="1:14">
      <c r="A78" t="s">
        <v>733</v>
      </c>
      <c r="B78" t="s">
        <v>627</v>
      </c>
      <c r="C78" t="s">
        <v>738</v>
      </c>
      <c r="D78">
        <v>794416300</v>
      </c>
      <c r="E78">
        <v>728397868</v>
      </c>
      <c r="F78">
        <v>5000</v>
      </c>
      <c r="G78" t="s">
        <v>413</v>
      </c>
      <c r="H78">
        <v>500</v>
      </c>
      <c r="I78">
        <v>1000</v>
      </c>
      <c r="J78">
        <v>6000</v>
      </c>
      <c r="K78">
        <v>1500</v>
      </c>
      <c r="L78">
        <v>1500</v>
      </c>
      <c r="M78">
        <v>4500</v>
      </c>
      <c r="N78" t="s">
        <v>657</v>
      </c>
    </row>
    <row r="79" spans="1:14">
      <c r="A79" t="s">
        <v>733</v>
      </c>
      <c r="B79" t="s">
        <v>277</v>
      </c>
      <c r="C79" t="s">
        <v>523</v>
      </c>
      <c r="D79">
        <v>792049781</v>
      </c>
      <c r="E79">
        <v>728587387</v>
      </c>
      <c r="F79">
        <v>7000</v>
      </c>
      <c r="G79" t="s">
        <v>412</v>
      </c>
      <c r="H79">
        <v>500</v>
      </c>
      <c r="I79">
        <v>3000</v>
      </c>
      <c r="J79">
        <v>10000</v>
      </c>
      <c r="K79">
        <v>1667</v>
      </c>
      <c r="L79">
        <v>0</v>
      </c>
      <c r="M79">
        <v>10000</v>
      </c>
      <c r="N79" t="s">
        <v>43</v>
      </c>
    </row>
    <row r="80" spans="1:14">
      <c r="A80" t="s">
        <v>733</v>
      </c>
      <c r="B80" t="s">
        <v>739</v>
      </c>
      <c r="C80" t="s">
        <v>740</v>
      </c>
      <c r="D80">
        <v>769573260</v>
      </c>
      <c r="E80">
        <v>702653933</v>
      </c>
      <c r="F80">
        <v>10000</v>
      </c>
      <c r="G80" t="s">
        <v>413</v>
      </c>
      <c r="H80">
        <v>500</v>
      </c>
      <c r="I80">
        <v>2000</v>
      </c>
      <c r="J80">
        <v>12000</v>
      </c>
      <c r="K80">
        <v>3000</v>
      </c>
      <c r="L80">
        <v>6000</v>
      </c>
      <c r="M80">
        <v>6000</v>
      </c>
      <c r="N80" t="s">
        <v>657</v>
      </c>
    </row>
    <row r="81" spans="1:14">
      <c r="A81" t="s">
        <v>741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2500</v>
      </c>
      <c r="M81">
        <v>7500</v>
      </c>
      <c r="N81" t="s">
        <v>657</v>
      </c>
    </row>
    <row r="82" spans="1:14">
      <c r="A82" t="s">
        <v>741</v>
      </c>
      <c r="B82" t="s">
        <v>609</v>
      </c>
      <c r="C82" t="s">
        <v>292</v>
      </c>
      <c r="D82">
        <v>707492014</v>
      </c>
      <c r="E82">
        <v>720311445</v>
      </c>
      <c r="F82">
        <v>8000</v>
      </c>
      <c r="G82" t="s">
        <v>412</v>
      </c>
      <c r="H82">
        <v>500</v>
      </c>
      <c r="I82">
        <v>3000</v>
      </c>
      <c r="J82">
        <v>11000</v>
      </c>
      <c r="K82">
        <v>1834</v>
      </c>
      <c r="L82">
        <v>1834</v>
      </c>
      <c r="M82">
        <v>9166</v>
      </c>
      <c r="N82" t="s">
        <v>657</v>
      </c>
    </row>
    <row r="83" spans="1:14">
      <c r="A83" t="s">
        <v>741</v>
      </c>
      <c r="B83" t="s">
        <v>742</v>
      </c>
      <c r="C83" t="s">
        <v>743</v>
      </c>
      <c r="D83">
        <v>748586361</v>
      </c>
      <c r="E83">
        <v>710644873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1500</v>
      </c>
      <c r="M83">
        <v>4500</v>
      </c>
      <c r="N83" t="s">
        <v>43</v>
      </c>
    </row>
    <row r="84" spans="1:14">
      <c r="A84" t="s">
        <v>741</v>
      </c>
      <c r="B84" t="s">
        <v>744</v>
      </c>
      <c r="C84" t="s">
        <v>745</v>
      </c>
      <c r="D84">
        <v>725380367</v>
      </c>
      <c r="E84">
        <v>728534959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2167</v>
      </c>
      <c r="M84">
        <v>10833</v>
      </c>
      <c r="N84" t="s">
        <v>657</v>
      </c>
    </row>
    <row r="85" spans="1:14">
      <c r="A85" t="s">
        <v>747</v>
      </c>
      <c r="B85" t="s">
        <v>73</v>
      </c>
      <c r="C85" t="s">
        <v>748</v>
      </c>
      <c r="D85">
        <v>714503794</v>
      </c>
      <c r="E85">
        <v>745128614</v>
      </c>
      <c r="F85">
        <v>5000</v>
      </c>
      <c r="G85" t="s">
        <v>413</v>
      </c>
      <c r="H85">
        <v>500</v>
      </c>
      <c r="I85">
        <v>1000</v>
      </c>
      <c r="J85">
        <v>6000</v>
      </c>
      <c r="K85">
        <v>1500</v>
      </c>
      <c r="L85">
        <v>1085</v>
      </c>
      <c r="M85">
        <v>4915</v>
      </c>
      <c r="N85" t="s">
        <v>43</v>
      </c>
    </row>
    <row r="86" spans="1:14">
      <c r="A86" t="s">
        <v>747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412</v>
      </c>
      <c r="H86">
        <v>500</v>
      </c>
      <c r="I86">
        <v>10500</v>
      </c>
      <c r="J86">
        <v>40500</v>
      </c>
      <c r="K86">
        <v>6750</v>
      </c>
      <c r="L86">
        <v>6750</v>
      </c>
      <c r="M86">
        <v>33750</v>
      </c>
      <c r="N86" t="s">
        <v>657</v>
      </c>
    </row>
    <row r="87" spans="1:14">
      <c r="A87" t="s">
        <v>747</v>
      </c>
      <c r="B87" t="s">
        <v>155</v>
      </c>
      <c r="C87" t="s">
        <v>749</v>
      </c>
      <c r="D87">
        <v>724712026</v>
      </c>
      <c r="E87">
        <v>746563025</v>
      </c>
      <c r="F87">
        <v>12000</v>
      </c>
      <c r="G87" t="s">
        <v>412</v>
      </c>
      <c r="H87">
        <v>500</v>
      </c>
      <c r="I87">
        <v>3600</v>
      </c>
      <c r="J87">
        <v>15600</v>
      </c>
      <c r="K87">
        <v>2600</v>
      </c>
      <c r="L87">
        <v>2570</v>
      </c>
      <c r="M87">
        <v>13030</v>
      </c>
      <c r="N87" t="s">
        <v>657</v>
      </c>
    </row>
    <row r="88" spans="1:14">
      <c r="A88" t="s">
        <v>747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412</v>
      </c>
      <c r="H88">
        <v>500</v>
      </c>
      <c r="I88">
        <v>3000</v>
      </c>
      <c r="J88">
        <v>13000</v>
      </c>
      <c r="K88">
        <v>2167</v>
      </c>
      <c r="L88">
        <v>2167</v>
      </c>
      <c r="M88">
        <v>10833</v>
      </c>
      <c r="N88" t="s">
        <v>43</v>
      </c>
    </row>
    <row r="89" spans="1:14">
      <c r="A89" t="s">
        <v>750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413</v>
      </c>
      <c r="H89">
        <v>500</v>
      </c>
      <c r="I89">
        <v>2000</v>
      </c>
      <c r="J89">
        <v>12000</v>
      </c>
      <c r="K89">
        <v>3000</v>
      </c>
      <c r="L89">
        <v>3000</v>
      </c>
      <c r="M89">
        <v>9000</v>
      </c>
      <c r="N89" t="s">
        <v>43</v>
      </c>
    </row>
    <row r="90" spans="1:14">
      <c r="A90" t="s">
        <v>750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412</v>
      </c>
      <c r="H90">
        <v>500</v>
      </c>
      <c r="I90">
        <v>3600</v>
      </c>
      <c r="J90">
        <v>15600</v>
      </c>
      <c r="K90">
        <v>2600</v>
      </c>
      <c r="L90">
        <v>2600</v>
      </c>
      <c r="M90">
        <v>13000</v>
      </c>
      <c r="N90" t="s">
        <v>66</v>
      </c>
    </row>
    <row r="91" spans="1:14">
      <c r="A91" t="s">
        <v>750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412</v>
      </c>
      <c r="H91">
        <v>500</v>
      </c>
      <c r="I91">
        <v>3000</v>
      </c>
      <c r="J91">
        <v>13000</v>
      </c>
      <c r="K91">
        <v>2167</v>
      </c>
      <c r="L91">
        <v>2167</v>
      </c>
      <c r="M91">
        <v>10833</v>
      </c>
      <c r="N91" t="s">
        <v>657</v>
      </c>
    </row>
    <row r="92" spans="1:14">
      <c r="A92" t="s">
        <v>750</v>
      </c>
      <c r="B92" t="s">
        <v>751</v>
      </c>
      <c r="C92" t="s">
        <v>752</v>
      </c>
      <c r="D92">
        <v>725559308</v>
      </c>
      <c r="E92">
        <v>705102133</v>
      </c>
      <c r="F92">
        <v>5000</v>
      </c>
      <c r="G92" t="s">
        <v>413</v>
      </c>
      <c r="H92">
        <v>500</v>
      </c>
      <c r="I92">
        <v>1000</v>
      </c>
      <c r="J92">
        <v>6000</v>
      </c>
      <c r="K92">
        <v>1500</v>
      </c>
      <c r="L92">
        <v>1500</v>
      </c>
      <c r="M92">
        <v>4500</v>
      </c>
      <c r="N92" t="s">
        <v>66</v>
      </c>
    </row>
    <row r="93" spans="1:14">
      <c r="A93" t="s">
        <v>750</v>
      </c>
      <c r="B93" t="s">
        <v>581</v>
      </c>
      <c r="C93" t="s">
        <v>753</v>
      </c>
      <c r="D93">
        <v>742282927</v>
      </c>
      <c r="E93">
        <v>701965026</v>
      </c>
      <c r="F93">
        <v>10000</v>
      </c>
      <c r="G93" t="s">
        <v>412</v>
      </c>
      <c r="H93">
        <v>500</v>
      </c>
      <c r="I93">
        <v>3000</v>
      </c>
      <c r="J93">
        <v>13000</v>
      </c>
      <c r="K93">
        <v>2167</v>
      </c>
      <c r="L93">
        <v>1500</v>
      </c>
      <c r="M93">
        <v>11500</v>
      </c>
      <c r="N93" t="s">
        <v>43</v>
      </c>
    </row>
    <row r="94" spans="1:14">
      <c r="A94" t="s">
        <v>750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412</v>
      </c>
      <c r="H94">
        <v>500</v>
      </c>
      <c r="I94">
        <v>4500</v>
      </c>
      <c r="J94">
        <v>19500</v>
      </c>
      <c r="K94">
        <v>3250</v>
      </c>
      <c r="L94">
        <v>3250</v>
      </c>
      <c r="M94">
        <v>16250</v>
      </c>
      <c r="N94" t="s">
        <v>43</v>
      </c>
    </row>
    <row r="95" spans="1:14">
      <c r="A95" t="s">
        <v>750</v>
      </c>
      <c r="B95" t="s">
        <v>754</v>
      </c>
      <c r="C95" t="s">
        <v>29</v>
      </c>
      <c r="D95">
        <v>723849109</v>
      </c>
      <c r="E95">
        <v>711237285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2167</v>
      </c>
      <c r="M95">
        <v>10833</v>
      </c>
      <c r="N95" t="s">
        <v>43</v>
      </c>
    </row>
    <row r="96" spans="1:14">
      <c r="A96" t="s">
        <v>750</v>
      </c>
      <c r="B96" t="s">
        <v>579</v>
      </c>
      <c r="C96" t="s">
        <v>755</v>
      </c>
      <c r="D96">
        <v>722655548</v>
      </c>
      <c r="E96">
        <v>701481316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1000</v>
      </c>
      <c r="M96">
        <v>10000</v>
      </c>
      <c r="N96" t="s">
        <v>43</v>
      </c>
    </row>
    <row r="97" spans="1:14">
      <c r="A97" t="s">
        <v>750</v>
      </c>
      <c r="B97" t="s">
        <v>514</v>
      </c>
      <c r="C97" t="s">
        <v>757</v>
      </c>
      <c r="D97">
        <v>790082214</v>
      </c>
      <c r="E97">
        <v>712258783</v>
      </c>
      <c r="F97">
        <v>7000</v>
      </c>
      <c r="G97" t="s">
        <v>412</v>
      </c>
      <c r="H97">
        <v>500</v>
      </c>
      <c r="I97">
        <v>3000</v>
      </c>
      <c r="J97">
        <v>10000</v>
      </c>
      <c r="K97">
        <v>1667</v>
      </c>
      <c r="L97">
        <v>1600</v>
      </c>
      <c r="M97">
        <v>8400</v>
      </c>
      <c r="N97" t="s">
        <v>66</v>
      </c>
    </row>
    <row r="98" spans="1:14">
      <c r="A98" t="s">
        <v>750</v>
      </c>
      <c r="B98" t="s">
        <v>569</v>
      </c>
      <c r="C98" t="s">
        <v>758</v>
      </c>
      <c r="D98">
        <v>729144308</v>
      </c>
      <c r="E98">
        <v>700570661</v>
      </c>
      <c r="F98">
        <v>12000</v>
      </c>
      <c r="G98" t="s">
        <v>412</v>
      </c>
      <c r="H98">
        <v>500</v>
      </c>
      <c r="I98">
        <v>3600</v>
      </c>
      <c r="J98">
        <v>15600</v>
      </c>
      <c r="K98">
        <v>2600</v>
      </c>
      <c r="L98">
        <v>2600</v>
      </c>
      <c r="M98">
        <v>13000</v>
      </c>
      <c r="N98" t="s">
        <v>43</v>
      </c>
    </row>
    <row r="99" spans="1:14">
      <c r="A99" t="s">
        <v>750</v>
      </c>
      <c r="B99" t="s">
        <v>759</v>
      </c>
      <c r="C99" t="s">
        <v>718</v>
      </c>
      <c r="D99">
        <v>727387416</v>
      </c>
      <c r="E99">
        <v>710954164</v>
      </c>
      <c r="F99">
        <v>12000</v>
      </c>
      <c r="G99" t="s">
        <v>412</v>
      </c>
      <c r="H99">
        <v>500</v>
      </c>
      <c r="I99">
        <v>3600</v>
      </c>
      <c r="J99">
        <v>15600</v>
      </c>
      <c r="K99">
        <v>2600</v>
      </c>
      <c r="L99">
        <v>2400</v>
      </c>
      <c r="M99">
        <v>13200</v>
      </c>
      <c r="N99" t="s">
        <v>43</v>
      </c>
    </row>
    <row r="100" spans="1:14">
      <c r="A100" t="s">
        <v>750</v>
      </c>
      <c r="B100" t="s">
        <v>537</v>
      </c>
      <c r="C100" t="s">
        <v>538</v>
      </c>
      <c r="D100">
        <v>701728665</v>
      </c>
      <c r="E100">
        <v>705102133</v>
      </c>
      <c r="F100">
        <v>7000</v>
      </c>
      <c r="G100" t="s">
        <v>412</v>
      </c>
      <c r="H100">
        <v>500</v>
      </c>
      <c r="I100">
        <v>3000</v>
      </c>
      <c r="J100">
        <v>10000</v>
      </c>
      <c r="K100">
        <v>1667</v>
      </c>
      <c r="L100">
        <v>1667</v>
      </c>
      <c r="M100">
        <v>8333</v>
      </c>
      <c r="N100" t="s">
        <v>657</v>
      </c>
    </row>
    <row r="101" spans="1:14">
      <c r="A101" t="s">
        <v>750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413</v>
      </c>
      <c r="H101">
        <v>500</v>
      </c>
      <c r="I101">
        <v>2000</v>
      </c>
      <c r="J101">
        <v>12000</v>
      </c>
      <c r="K101">
        <v>3000</v>
      </c>
      <c r="L101">
        <v>3000</v>
      </c>
      <c r="M101">
        <v>9000</v>
      </c>
      <c r="N101" t="s">
        <v>657</v>
      </c>
    </row>
    <row r="102" spans="1:14">
      <c r="A102" t="s">
        <v>756</v>
      </c>
      <c r="B102" t="s">
        <v>521</v>
      </c>
      <c r="C102" t="s">
        <v>522</v>
      </c>
      <c r="D102">
        <v>715709400</v>
      </c>
      <c r="E102">
        <v>713101470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1500</v>
      </c>
      <c r="M102">
        <v>8500</v>
      </c>
      <c r="N102" t="s">
        <v>43</v>
      </c>
    </row>
    <row r="103" spans="1:14">
      <c r="A103" t="s">
        <v>756</v>
      </c>
      <c r="B103" t="s">
        <v>14</v>
      </c>
      <c r="C103" t="s">
        <v>508</v>
      </c>
      <c r="D103">
        <v>724210636</v>
      </c>
      <c r="E103">
        <v>740491220</v>
      </c>
      <c r="F103">
        <v>7000</v>
      </c>
      <c r="G103" t="s">
        <v>412</v>
      </c>
      <c r="H103">
        <v>500</v>
      </c>
      <c r="I103">
        <v>3000</v>
      </c>
      <c r="J103">
        <v>10000</v>
      </c>
      <c r="K103">
        <v>1667</v>
      </c>
      <c r="L103">
        <v>1667</v>
      </c>
      <c r="M103">
        <v>8333</v>
      </c>
      <c r="N103" t="s">
        <v>657</v>
      </c>
    </row>
    <row r="104" spans="1:14">
      <c r="A104" t="s">
        <v>756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412</v>
      </c>
      <c r="H104">
        <v>500</v>
      </c>
      <c r="I104">
        <v>3000</v>
      </c>
      <c r="J104">
        <v>13000</v>
      </c>
      <c r="K104">
        <v>2167</v>
      </c>
      <c r="L104">
        <v>2167</v>
      </c>
      <c r="M104">
        <v>10833</v>
      </c>
      <c r="N104" t="s">
        <v>43</v>
      </c>
    </row>
    <row r="105" spans="1:14">
      <c r="A105" t="s">
        <v>756</v>
      </c>
      <c r="B105" t="s">
        <v>760</v>
      </c>
      <c r="C105" t="s">
        <v>761</v>
      </c>
      <c r="D105">
        <v>728290725</v>
      </c>
      <c r="E105">
        <v>714592685</v>
      </c>
      <c r="F105">
        <v>15000</v>
      </c>
      <c r="G105" t="s">
        <v>412</v>
      </c>
      <c r="H105">
        <v>500</v>
      </c>
      <c r="I105">
        <v>4500</v>
      </c>
      <c r="J105">
        <v>19500</v>
      </c>
      <c r="K105">
        <v>3250</v>
      </c>
      <c r="L105">
        <v>3250</v>
      </c>
      <c r="M105">
        <v>16250</v>
      </c>
      <c r="N105" t="s">
        <v>43</v>
      </c>
    </row>
    <row r="106" spans="1:14">
      <c r="A106" t="s">
        <v>756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1667</v>
      </c>
      <c r="M106">
        <v>8333</v>
      </c>
      <c r="N106" t="s">
        <v>66</v>
      </c>
    </row>
    <row r="107" spans="1:14">
      <c r="A107" t="s">
        <v>756</v>
      </c>
      <c r="B107" t="s">
        <v>88</v>
      </c>
      <c r="C107" t="s">
        <v>762</v>
      </c>
      <c r="D107">
        <v>715706681</v>
      </c>
      <c r="E107">
        <v>722948117</v>
      </c>
      <c r="F107">
        <v>20000</v>
      </c>
      <c r="G107" t="s">
        <v>413</v>
      </c>
      <c r="H107">
        <v>500</v>
      </c>
      <c r="I107">
        <v>4000</v>
      </c>
      <c r="J107">
        <v>24000</v>
      </c>
      <c r="K107">
        <v>6000</v>
      </c>
      <c r="L107">
        <v>6000</v>
      </c>
      <c r="M107">
        <v>18000</v>
      </c>
      <c r="N107" t="s">
        <v>66</v>
      </c>
    </row>
    <row r="108" spans="1:14">
      <c r="A108" t="s">
        <v>756</v>
      </c>
      <c r="B108" t="s">
        <v>763</v>
      </c>
      <c r="C108" t="s">
        <v>764</v>
      </c>
      <c r="D108">
        <v>717622386</v>
      </c>
      <c r="E108">
        <v>1088117449</v>
      </c>
      <c r="F108">
        <v>12000</v>
      </c>
      <c r="G108" t="s">
        <v>413</v>
      </c>
      <c r="H108">
        <v>500</v>
      </c>
      <c r="I108">
        <v>4400</v>
      </c>
      <c r="J108">
        <v>14400</v>
      </c>
      <c r="K108">
        <v>3600</v>
      </c>
      <c r="L108">
        <v>3600</v>
      </c>
      <c r="M108">
        <v>10800</v>
      </c>
      <c r="N108" t="s">
        <v>66</v>
      </c>
    </row>
    <row r="109" spans="1:14">
      <c r="A109" t="s">
        <v>756</v>
      </c>
      <c r="B109" t="s">
        <v>287</v>
      </c>
      <c r="C109" t="s">
        <v>765</v>
      </c>
      <c r="D109">
        <v>721994091</v>
      </c>
      <c r="E109">
        <v>715747740</v>
      </c>
      <c r="F109">
        <v>10000</v>
      </c>
      <c r="G109" t="s">
        <v>412</v>
      </c>
      <c r="H109">
        <v>500</v>
      </c>
      <c r="I109">
        <v>3000</v>
      </c>
      <c r="J109">
        <v>13000</v>
      </c>
      <c r="K109">
        <v>2167</v>
      </c>
      <c r="L109">
        <v>2167</v>
      </c>
      <c r="M109">
        <v>10833</v>
      </c>
      <c r="N109" t="s">
        <v>43</v>
      </c>
    </row>
    <row r="110" spans="1:14">
      <c r="A110" t="s">
        <v>766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412</v>
      </c>
      <c r="H110">
        <v>500</v>
      </c>
      <c r="I110">
        <v>4500</v>
      </c>
      <c r="J110">
        <v>19500</v>
      </c>
      <c r="K110">
        <v>3250</v>
      </c>
      <c r="L110">
        <v>3500</v>
      </c>
      <c r="M110">
        <v>16000</v>
      </c>
      <c r="N110" t="s">
        <v>657</v>
      </c>
    </row>
    <row r="111" spans="1:14">
      <c r="A111" t="s">
        <v>766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412</v>
      </c>
      <c r="H111">
        <v>500</v>
      </c>
      <c r="I111">
        <v>3600</v>
      </c>
      <c r="J111">
        <v>15600</v>
      </c>
      <c r="K111">
        <v>2600</v>
      </c>
      <c r="L111">
        <v>2600</v>
      </c>
      <c r="M111">
        <v>1300</v>
      </c>
      <c r="N111" t="s">
        <v>43</v>
      </c>
    </row>
    <row r="112" spans="1:14">
      <c r="A112" t="s">
        <v>766</v>
      </c>
      <c r="B112" t="s">
        <v>663</v>
      </c>
      <c r="C112" t="s">
        <v>664</v>
      </c>
      <c r="D112">
        <v>716331062</v>
      </c>
      <c r="E112">
        <v>720294359</v>
      </c>
      <c r="F112">
        <v>5000</v>
      </c>
      <c r="G112" t="s">
        <v>413</v>
      </c>
      <c r="H112">
        <v>500</v>
      </c>
      <c r="I112">
        <v>1000</v>
      </c>
      <c r="J112">
        <v>6000</v>
      </c>
      <c r="K112">
        <v>1500</v>
      </c>
      <c r="L112">
        <v>0</v>
      </c>
      <c r="M112">
        <v>6000</v>
      </c>
      <c r="N112" t="s">
        <v>43</v>
      </c>
    </row>
    <row r="113" spans="1:14">
      <c r="A113" t="s">
        <v>766</v>
      </c>
      <c r="B113" t="s">
        <v>53</v>
      </c>
      <c r="C113" t="s">
        <v>767</v>
      </c>
      <c r="D113">
        <v>729823193</v>
      </c>
      <c r="E113">
        <v>717720111</v>
      </c>
      <c r="F113">
        <v>30000</v>
      </c>
      <c r="G113" t="s">
        <v>412</v>
      </c>
      <c r="H113">
        <v>500</v>
      </c>
      <c r="I113">
        <v>10500</v>
      </c>
      <c r="J113">
        <v>40500</v>
      </c>
      <c r="K113">
        <v>6750</v>
      </c>
      <c r="L113">
        <v>6750</v>
      </c>
      <c r="M113">
        <v>33750</v>
      </c>
      <c r="N113" t="s">
        <v>657</v>
      </c>
    </row>
    <row r="114" spans="1:14">
      <c r="A114" t="s">
        <v>766</v>
      </c>
      <c r="B114" t="s">
        <v>769</v>
      </c>
      <c r="C114" t="s">
        <v>680</v>
      </c>
      <c r="D114">
        <v>707029040</v>
      </c>
      <c r="E114">
        <v>707029040</v>
      </c>
      <c r="F114">
        <v>20000</v>
      </c>
      <c r="G114" t="s">
        <v>412</v>
      </c>
      <c r="H114">
        <v>500</v>
      </c>
      <c r="I114">
        <v>26000</v>
      </c>
      <c r="J114">
        <v>2600</v>
      </c>
      <c r="K114">
        <v>4334</v>
      </c>
      <c r="L114">
        <v>4334</v>
      </c>
      <c r="M114">
        <v>21666</v>
      </c>
      <c r="N114" t="s">
        <v>66</v>
      </c>
    </row>
    <row r="115" spans="1:14">
      <c r="A115" t="s">
        <v>768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412</v>
      </c>
      <c r="H115">
        <v>500</v>
      </c>
      <c r="I115">
        <v>3600</v>
      </c>
      <c r="J115">
        <v>15600</v>
      </c>
      <c r="K115">
        <v>2600</v>
      </c>
      <c r="L115">
        <v>2600</v>
      </c>
      <c r="M115">
        <v>13000</v>
      </c>
      <c r="N115" t="s">
        <v>43</v>
      </c>
    </row>
    <row r="116" spans="1:14">
      <c r="A116" t="s">
        <v>768</v>
      </c>
      <c r="B116" t="s">
        <v>770</v>
      </c>
      <c r="C116" t="s">
        <v>91</v>
      </c>
      <c r="D116">
        <v>748310063</v>
      </c>
      <c r="E116">
        <v>721425519</v>
      </c>
      <c r="F116">
        <v>10000</v>
      </c>
      <c r="G116" t="s">
        <v>412</v>
      </c>
      <c r="H116">
        <v>500</v>
      </c>
      <c r="I116">
        <v>3000</v>
      </c>
      <c r="J116">
        <v>13000</v>
      </c>
      <c r="K116">
        <v>2167</v>
      </c>
      <c r="L116">
        <v>2167</v>
      </c>
      <c r="M116">
        <v>10833</v>
      </c>
      <c r="N116" t="s">
        <v>43</v>
      </c>
    </row>
    <row r="117" spans="1:14">
      <c r="A117" t="s">
        <v>768</v>
      </c>
      <c r="B117" t="s">
        <v>771</v>
      </c>
      <c r="C117" t="s">
        <v>772</v>
      </c>
      <c r="D117">
        <v>759607572</v>
      </c>
      <c r="E117">
        <v>758091413</v>
      </c>
      <c r="F117">
        <v>5000</v>
      </c>
      <c r="G117" t="s">
        <v>413</v>
      </c>
      <c r="H117">
        <v>500</v>
      </c>
      <c r="I117">
        <v>1000</v>
      </c>
      <c r="J117">
        <v>6000</v>
      </c>
      <c r="K117">
        <v>1500</v>
      </c>
      <c r="L117">
        <v>1500</v>
      </c>
      <c r="M117">
        <v>4500</v>
      </c>
      <c r="N117" t="s">
        <v>43</v>
      </c>
    </row>
    <row r="118" spans="1:14">
      <c r="A118" t="s">
        <v>768</v>
      </c>
      <c r="B118" t="s">
        <v>773</v>
      </c>
      <c r="C118" t="s">
        <v>774</v>
      </c>
      <c r="D118">
        <v>715390575</v>
      </c>
      <c r="E118">
        <v>759859581</v>
      </c>
      <c r="F118">
        <v>12000</v>
      </c>
      <c r="G118" t="s">
        <v>412</v>
      </c>
      <c r="H118">
        <v>500</v>
      </c>
      <c r="I118">
        <v>3600</v>
      </c>
      <c r="J118">
        <v>15600</v>
      </c>
      <c r="K118">
        <v>2600</v>
      </c>
      <c r="L118">
        <v>0</v>
      </c>
      <c r="M118">
        <v>15600</v>
      </c>
      <c r="N118" t="s">
        <v>43</v>
      </c>
    </row>
    <row r="119" spans="1:14">
      <c r="A119" s="98" t="s">
        <v>768</v>
      </c>
      <c r="B119" t="s">
        <v>661</v>
      </c>
      <c r="C119" t="s">
        <v>662</v>
      </c>
      <c r="D119">
        <v>724164082</v>
      </c>
      <c r="E119">
        <v>727992553</v>
      </c>
      <c r="F119">
        <v>8000</v>
      </c>
      <c r="G119" t="s">
        <v>413</v>
      </c>
      <c r="H119">
        <v>500</v>
      </c>
      <c r="I119">
        <v>2000</v>
      </c>
      <c r="J119">
        <v>10000</v>
      </c>
      <c r="K119">
        <v>2500</v>
      </c>
      <c r="L119">
        <v>2500</v>
      </c>
      <c r="M119">
        <v>7500</v>
      </c>
      <c r="N119" t="s">
        <v>657</v>
      </c>
    </row>
    <row r="120" spans="1:14">
      <c r="A120" s="98" t="s">
        <v>768</v>
      </c>
      <c r="B120" t="s">
        <v>692</v>
      </c>
      <c r="C120" t="s">
        <v>27</v>
      </c>
      <c r="D120">
        <v>715365131</v>
      </c>
      <c r="E120">
        <v>713543764</v>
      </c>
      <c r="F120">
        <v>10000</v>
      </c>
      <c r="G120" t="s">
        <v>412</v>
      </c>
      <c r="H120">
        <v>500</v>
      </c>
      <c r="I120">
        <v>3000</v>
      </c>
      <c r="J120">
        <v>13000</v>
      </c>
      <c r="K120">
        <v>2167</v>
      </c>
      <c r="L120">
        <v>2167</v>
      </c>
      <c r="M120">
        <v>10833</v>
      </c>
      <c r="N120" t="s">
        <v>657</v>
      </c>
    </row>
    <row r="121" spans="1:14">
      <c r="A121" t="s">
        <v>768</v>
      </c>
      <c r="B121" t="s">
        <v>632</v>
      </c>
      <c r="C121" t="s">
        <v>633</v>
      </c>
      <c r="D121">
        <v>707143090</v>
      </c>
      <c r="E121">
        <v>738427495</v>
      </c>
      <c r="F121">
        <v>7000</v>
      </c>
      <c r="G121" t="s">
        <v>412</v>
      </c>
      <c r="H121">
        <v>500</v>
      </c>
      <c r="I121">
        <v>3000</v>
      </c>
      <c r="J121">
        <v>10000</v>
      </c>
      <c r="K121">
        <v>1667</v>
      </c>
      <c r="L121">
        <v>0</v>
      </c>
      <c r="M121">
        <v>10000</v>
      </c>
      <c r="N121" t="s">
        <v>66</v>
      </c>
    </row>
    <row r="122" spans="1:14">
      <c r="A122" t="s">
        <v>768</v>
      </c>
      <c r="B122" t="s">
        <v>775</v>
      </c>
      <c r="C122" t="s">
        <v>776</v>
      </c>
      <c r="D122">
        <v>705757348</v>
      </c>
      <c r="E122">
        <v>769956186</v>
      </c>
      <c r="F122">
        <v>7000</v>
      </c>
      <c r="G122" t="s">
        <v>412</v>
      </c>
      <c r="H122">
        <v>500</v>
      </c>
      <c r="I122">
        <v>3000</v>
      </c>
      <c r="J122">
        <v>10000</v>
      </c>
      <c r="K122">
        <v>1667</v>
      </c>
      <c r="L122">
        <v>1667</v>
      </c>
      <c r="M122">
        <v>8333</v>
      </c>
      <c r="N122" t="s">
        <v>66</v>
      </c>
    </row>
    <row r="123" spans="1:14">
      <c r="A123" t="s">
        <v>768</v>
      </c>
      <c r="B123" t="s">
        <v>546</v>
      </c>
      <c r="C123" t="s">
        <v>638</v>
      </c>
      <c r="D123">
        <v>792612031</v>
      </c>
      <c r="E123">
        <v>716523140</v>
      </c>
      <c r="F123">
        <v>7000</v>
      </c>
      <c r="G123" t="s">
        <v>412</v>
      </c>
      <c r="H123">
        <v>500</v>
      </c>
      <c r="I123">
        <v>3000</v>
      </c>
      <c r="J123">
        <v>10000</v>
      </c>
      <c r="K123">
        <v>1667</v>
      </c>
      <c r="L123">
        <v>1667</v>
      </c>
      <c r="M123">
        <v>8333</v>
      </c>
      <c r="N123" t="s">
        <v>43</v>
      </c>
    </row>
    <row r="124" spans="1:14">
      <c r="A124" t="s">
        <v>768</v>
      </c>
      <c r="B124" t="s">
        <v>652</v>
      </c>
      <c r="C124" t="s">
        <v>653</v>
      </c>
      <c r="D124">
        <v>795157747</v>
      </c>
      <c r="E124">
        <v>757630138</v>
      </c>
      <c r="F124">
        <v>7000</v>
      </c>
      <c r="G124" t="s">
        <v>412</v>
      </c>
      <c r="H124">
        <v>500</v>
      </c>
      <c r="I124">
        <v>3000</v>
      </c>
      <c r="J124">
        <v>10000</v>
      </c>
      <c r="K124">
        <v>1667</v>
      </c>
      <c r="L124">
        <v>1667</v>
      </c>
      <c r="M124">
        <v>8333</v>
      </c>
      <c r="N124" t="s">
        <v>66</v>
      </c>
    </row>
    <row r="125" spans="1:14">
      <c r="A125" t="s">
        <v>768</v>
      </c>
      <c r="B125" t="s">
        <v>506</v>
      </c>
      <c r="C125" t="s">
        <v>777</v>
      </c>
      <c r="D125">
        <v>110724989</v>
      </c>
      <c r="E125">
        <v>712416909</v>
      </c>
      <c r="F125">
        <v>5000</v>
      </c>
      <c r="G125" t="s">
        <v>413</v>
      </c>
      <c r="H125">
        <v>500</v>
      </c>
      <c r="I125">
        <v>1000</v>
      </c>
      <c r="J125">
        <v>6000</v>
      </c>
      <c r="K125">
        <v>1500</v>
      </c>
      <c r="L125">
        <v>1000</v>
      </c>
      <c r="M125">
        <v>5000</v>
      </c>
      <c r="N125" t="s">
        <v>66</v>
      </c>
    </row>
    <row r="126" spans="1:14">
      <c r="A126" t="s">
        <v>778</v>
      </c>
      <c r="B126" t="s">
        <v>86</v>
      </c>
      <c r="C126" t="s">
        <v>779</v>
      </c>
      <c r="D126">
        <v>708199244</v>
      </c>
      <c r="E126">
        <v>70509057</v>
      </c>
      <c r="F126">
        <v>20000</v>
      </c>
      <c r="G126" t="s">
        <v>413</v>
      </c>
      <c r="H126">
        <v>500</v>
      </c>
      <c r="I126">
        <v>4000</v>
      </c>
      <c r="J126">
        <v>24000</v>
      </c>
      <c r="K126">
        <v>6000</v>
      </c>
      <c r="L126">
        <v>0</v>
      </c>
      <c r="M126">
        <v>24000</v>
      </c>
      <c r="N126" t="s">
        <v>657</v>
      </c>
    </row>
    <row r="127" spans="1:14">
      <c r="A127" t="s">
        <v>778</v>
      </c>
      <c r="B127" t="s">
        <v>799</v>
      </c>
      <c r="C127" t="s">
        <v>800</v>
      </c>
      <c r="D127">
        <v>757723589</v>
      </c>
      <c r="E127">
        <v>790244266</v>
      </c>
      <c r="F127">
        <v>5000</v>
      </c>
      <c r="G127" t="s">
        <v>413</v>
      </c>
      <c r="H127">
        <v>500</v>
      </c>
      <c r="I127">
        <v>1000</v>
      </c>
      <c r="J127">
        <v>6000</v>
      </c>
      <c r="K127">
        <v>1500</v>
      </c>
      <c r="L127">
        <v>0</v>
      </c>
      <c r="M127">
        <v>6000</v>
      </c>
      <c r="N127" t="s">
        <v>657</v>
      </c>
    </row>
    <row r="128" spans="1:14">
      <c r="A128" t="s">
        <v>778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412</v>
      </c>
      <c r="H128">
        <v>500</v>
      </c>
      <c r="I128">
        <v>5800</v>
      </c>
      <c r="J128">
        <v>24800</v>
      </c>
      <c r="K128">
        <v>4134</v>
      </c>
      <c r="L128">
        <v>0</v>
      </c>
      <c r="M128">
        <v>24800</v>
      </c>
      <c r="N128" t="s">
        <v>43</v>
      </c>
    </row>
    <row r="129" spans="1:14">
      <c r="A129" t="s">
        <v>778</v>
      </c>
      <c r="B129" t="s">
        <v>780</v>
      </c>
      <c r="C129" t="s">
        <v>781</v>
      </c>
      <c r="D129">
        <v>758849257</v>
      </c>
      <c r="E129">
        <v>748300019</v>
      </c>
      <c r="F129">
        <v>8000</v>
      </c>
      <c r="G129" t="s">
        <v>413</v>
      </c>
      <c r="H129">
        <v>500</v>
      </c>
      <c r="I129">
        <v>2000</v>
      </c>
      <c r="J129">
        <v>10000</v>
      </c>
      <c r="K129">
        <v>2500</v>
      </c>
      <c r="L129">
        <v>0</v>
      </c>
      <c r="M129">
        <v>10000</v>
      </c>
      <c r="N129" t="s">
        <v>66</v>
      </c>
    </row>
    <row r="130" spans="1:14">
      <c r="A130" t="s">
        <v>778</v>
      </c>
      <c r="B130" t="s">
        <v>502</v>
      </c>
      <c r="C130" t="s">
        <v>577</v>
      </c>
      <c r="D130">
        <v>707655312</v>
      </c>
      <c r="E130">
        <v>711346285</v>
      </c>
      <c r="F130">
        <v>10000</v>
      </c>
      <c r="G130" t="s">
        <v>413</v>
      </c>
      <c r="H130">
        <v>500</v>
      </c>
      <c r="I130">
        <v>2000</v>
      </c>
      <c r="J130">
        <v>10000</v>
      </c>
      <c r="K130">
        <v>3000</v>
      </c>
      <c r="L130">
        <v>0</v>
      </c>
      <c r="M130">
        <v>10000</v>
      </c>
      <c r="N130" t="s">
        <v>657</v>
      </c>
    </row>
    <row r="131" spans="1:14">
      <c r="A131" t="s">
        <v>778</v>
      </c>
      <c r="B131" t="s">
        <v>153</v>
      </c>
      <c r="C131" t="s">
        <v>571</v>
      </c>
      <c r="D131">
        <v>724544938</v>
      </c>
      <c r="E131">
        <v>740441273</v>
      </c>
      <c r="F131">
        <v>10000</v>
      </c>
      <c r="G131" t="s">
        <v>412</v>
      </c>
      <c r="H131">
        <v>500</v>
      </c>
      <c r="I131">
        <v>3000</v>
      </c>
      <c r="J131">
        <v>13000</v>
      </c>
      <c r="K131">
        <v>2167</v>
      </c>
      <c r="L131">
        <v>0</v>
      </c>
      <c r="M131">
        <v>13000</v>
      </c>
      <c r="N131" t="s">
        <v>43</v>
      </c>
    </row>
    <row r="132" spans="1:14">
      <c r="A132" t="s">
        <v>782</v>
      </c>
      <c r="B132" t="s">
        <v>665</v>
      </c>
      <c r="C132" t="s">
        <v>666</v>
      </c>
      <c r="D132">
        <v>724479261</v>
      </c>
      <c r="E132">
        <v>728649729</v>
      </c>
      <c r="F132">
        <v>8000</v>
      </c>
      <c r="G132" t="s">
        <v>413</v>
      </c>
      <c r="H132">
        <v>500</v>
      </c>
      <c r="I132">
        <v>2000</v>
      </c>
      <c r="J132">
        <v>10000</v>
      </c>
      <c r="K132">
        <v>2500</v>
      </c>
      <c r="L132">
        <v>0</v>
      </c>
      <c r="M132">
        <v>10000</v>
      </c>
      <c r="N132" t="s">
        <v>66</v>
      </c>
    </row>
    <row r="133" spans="1:14">
      <c r="A133" t="s">
        <v>782</v>
      </c>
      <c r="B133" t="s">
        <v>783</v>
      </c>
      <c r="C133" t="s">
        <v>784</v>
      </c>
      <c r="D133">
        <v>721356359</v>
      </c>
      <c r="E133">
        <v>721401919</v>
      </c>
      <c r="F133">
        <v>15000</v>
      </c>
      <c r="G133" t="s">
        <v>413</v>
      </c>
      <c r="H133">
        <v>500</v>
      </c>
      <c r="I133">
        <v>4500</v>
      </c>
      <c r="J133">
        <v>19500</v>
      </c>
      <c r="K133">
        <v>3250</v>
      </c>
      <c r="L133">
        <v>0</v>
      </c>
      <c r="M133">
        <v>19500</v>
      </c>
      <c r="N133" t="s">
        <v>657</v>
      </c>
    </row>
    <row r="134" spans="1:14">
      <c r="A134" t="s">
        <v>782</v>
      </c>
      <c r="B134" t="s">
        <v>297</v>
      </c>
      <c r="C134" t="s">
        <v>785</v>
      </c>
      <c r="D134">
        <v>715616331</v>
      </c>
      <c r="E134">
        <v>704690718</v>
      </c>
      <c r="F134">
        <v>12000</v>
      </c>
      <c r="G134" t="s">
        <v>412</v>
      </c>
      <c r="H134">
        <v>500</v>
      </c>
      <c r="I134">
        <v>3600</v>
      </c>
      <c r="J134">
        <v>15600</v>
      </c>
      <c r="K134">
        <v>2600</v>
      </c>
      <c r="L134">
        <v>0</v>
      </c>
      <c r="M134">
        <v>15600</v>
      </c>
      <c r="N134" t="s">
        <v>657</v>
      </c>
    </row>
    <row r="135" spans="1:14">
      <c r="A135" t="s">
        <v>782</v>
      </c>
      <c r="B135" t="s">
        <v>161</v>
      </c>
      <c r="C135" t="s">
        <v>684</v>
      </c>
      <c r="D135">
        <v>724836941</v>
      </c>
      <c r="E135">
        <v>743320897</v>
      </c>
      <c r="F135">
        <v>10000</v>
      </c>
      <c r="G135" t="s">
        <v>413</v>
      </c>
      <c r="H135">
        <v>500</v>
      </c>
      <c r="I135">
        <v>2000</v>
      </c>
      <c r="J135">
        <v>12000</v>
      </c>
      <c r="K135">
        <v>3000</v>
      </c>
      <c r="L135">
        <v>0</v>
      </c>
      <c r="M135">
        <v>12000</v>
      </c>
      <c r="N135" t="s">
        <v>66</v>
      </c>
    </row>
    <row r="136" spans="1:14">
      <c r="A136" t="s">
        <v>782</v>
      </c>
      <c r="B136" t="s">
        <v>67</v>
      </c>
      <c r="C136" t="s">
        <v>786</v>
      </c>
      <c r="D136">
        <v>718886595</v>
      </c>
      <c r="E136">
        <v>726547536</v>
      </c>
      <c r="F136">
        <v>5000</v>
      </c>
      <c r="G136" t="s">
        <v>413</v>
      </c>
      <c r="H136">
        <v>500</v>
      </c>
      <c r="I136">
        <v>1000</v>
      </c>
      <c r="J136">
        <v>6000</v>
      </c>
      <c r="K136">
        <v>1500</v>
      </c>
      <c r="L136">
        <v>0</v>
      </c>
      <c r="M136">
        <v>6000</v>
      </c>
      <c r="N136" t="s">
        <v>66</v>
      </c>
    </row>
    <row r="137" spans="1:14">
      <c r="A137" t="s">
        <v>782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412</v>
      </c>
      <c r="H137">
        <v>500</v>
      </c>
      <c r="I137">
        <v>3000</v>
      </c>
      <c r="J137">
        <v>11000</v>
      </c>
      <c r="K137">
        <v>1834</v>
      </c>
      <c r="L137">
        <v>0</v>
      </c>
      <c r="M137">
        <v>11000</v>
      </c>
      <c r="N137" t="s">
        <v>66</v>
      </c>
    </row>
    <row r="138" spans="1:14">
      <c r="A138" t="s">
        <v>782</v>
      </c>
      <c r="B138" t="s">
        <v>787</v>
      </c>
      <c r="C138" t="s">
        <v>788</v>
      </c>
      <c r="D138">
        <v>721950008</v>
      </c>
      <c r="E138">
        <v>727258550</v>
      </c>
      <c r="F138">
        <v>5000</v>
      </c>
      <c r="G138" t="s">
        <v>413</v>
      </c>
      <c r="H138">
        <v>500</v>
      </c>
      <c r="I138">
        <v>1000</v>
      </c>
      <c r="J138">
        <v>6000</v>
      </c>
      <c r="K138">
        <v>1500</v>
      </c>
      <c r="L138">
        <v>0</v>
      </c>
      <c r="M138">
        <v>6000</v>
      </c>
      <c r="N138" t="s">
        <v>66</v>
      </c>
    </row>
    <row r="139" spans="1:14">
      <c r="A139" t="s">
        <v>782</v>
      </c>
      <c r="B139" t="s">
        <v>789</v>
      </c>
      <c r="C139" t="s">
        <v>186</v>
      </c>
      <c r="D139">
        <v>723858169</v>
      </c>
      <c r="E139">
        <v>703286633</v>
      </c>
      <c r="F139">
        <v>5000</v>
      </c>
      <c r="G139" t="s">
        <v>413</v>
      </c>
      <c r="H139">
        <v>500</v>
      </c>
      <c r="I139">
        <v>1000</v>
      </c>
      <c r="J139">
        <v>6000</v>
      </c>
      <c r="K139">
        <v>1500</v>
      </c>
      <c r="L139">
        <v>0</v>
      </c>
      <c r="M139">
        <v>6000</v>
      </c>
      <c r="N139" t="s">
        <v>43</v>
      </c>
    </row>
    <row r="140" spans="1:14">
      <c r="A140" t="s">
        <v>782</v>
      </c>
      <c r="B140" t="s">
        <v>787</v>
      </c>
      <c r="C140" t="s">
        <v>788</v>
      </c>
      <c r="D140">
        <v>721950008</v>
      </c>
      <c r="E140">
        <v>727258550</v>
      </c>
      <c r="F140">
        <v>7000</v>
      </c>
      <c r="G140" t="s">
        <v>413</v>
      </c>
      <c r="H140">
        <v>500</v>
      </c>
      <c r="I140">
        <v>2000</v>
      </c>
      <c r="J140">
        <v>9000</v>
      </c>
      <c r="K140">
        <v>2250</v>
      </c>
      <c r="L140">
        <v>0</v>
      </c>
      <c r="M140">
        <v>9000</v>
      </c>
      <c r="N140" t="s">
        <v>66</v>
      </c>
    </row>
    <row r="141" spans="1:14">
      <c r="A141" t="s">
        <v>782</v>
      </c>
      <c r="B141" t="s">
        <v>790</v>
      </c>
      <c r="C141" t="s">
        <v>791</v>
      </c>
      <c r="D141">
        <v>703418234</v>
      </c>
      <c r="E141">
        <v>114234124</v>
      </c>
      <c r="F141">
        <v>7000</v>
      </c>
      <c r="G141" t="s">
        <v>413</v>
      </c>
      <c r="H141">
        <v>500</v>
      </c>
      <c r="I141">
        <v>2000</v>
      </c>
      <c r="J141">
        <v>9000</v>
      </c>
      <c r="K141">
        <v>2250</v>
      </c>
      <c r="L141">
        <v>0</v>
      </c>
      <c r="M141">
        <v>9000</v>
      </c>
      <c r="N141" t="s">
        <v>66</v>
      </c>
    </row>
    <row r="142" spans="1:14">
      <c r="A142" t="s">
        <v>797</v>
      </c>
      <c r="B142" t="s">
        <v>232</v>
      </c>
      <c r="C142" t="s">
        <v>792</v>
      </c>
      <c r="D142">
        <v>727865456</v>
      </c>
      <c r="E142">
        <v>726503829</v>
      </c>
      <c r="F142">
        <v>30000</v>
      </c>
      <c r="G142" t="s">
        <v>412</v>
      </c>
      <c r="H142">
        <v>500</v>
      </c>
      <c r="I142">
        <v>10500</v>
      </c>
      <c r="J142">
        <v>40500</v>
      </c>
      <c r="K142">
        <v>6750</v>
      </c>
      <c r="L142">
        <v>0</v>
      </c>
      <c r="M142">
        <v>40500</v>
      </c>
      <c r="N142" t="s">
        <v>43</v>
      </c>
    </row>
    <row r="143" spans="1:14">
      <c r="A143" t="s">
        <v>797</v>
      </c>
      <c r="B143" t="s">
        <v>793</v>
      </c>
      <c r="C143" t="s">
        <v>794</v>
      </c>
      <c r="D143">
        <v>724701702</v>
      </c>
      <c r="E143">
        <v>710576285</v>
      </c>
      <c r="F143">
        <v>12000</v>
      </c>
      <c r="G143" t="s">
        <v>412</v>
      </c>
      <c r="H143">
        <v>500</v>
      </c>
      <c r="I143">
        <v>3600</v>
      </c>
      <c r="J143">
        <v>15600</v>
      </c>
      <c r="K143">
        <v>2600</v>
      </c>
      <c r="L143">
        <v>0</v>
      </c>
      <c r="M143">
        <v>15600</v>
      </c>
      <c r="N143" t="s">
        <v>657</v>
      </c>
    </row>
    <row r="144" spans="1:14">
      <c r="A144" t="s">
        <v>797</v>
      </c>
      <c r="B144" t="s">
        <v>46</v>
      </c>
      <c r="C144" t="s">
        <v>47</v>
      </c>
      <c r="D144">
        <v>708448209</v>
      </c>
      <c r="E144">
        <v>116691166</v>
      </c>
      <c r="F144">
        <v>10000</v>
      </c>
      <c r="G144" t="s">
        <v>412</v>
      </c>
      <c r="H144">
        <v>500</v>
      </c>
      <c r="I144">
        <v>3000</v>
      </c>
      <c r="J144">
        <v>13000</v>
      </c>
      <c r="K144">
        <v>2167</v>
      </c>
      <c r="L144">
        <v>0</v>
      </c>
      <c r="M144">
        <v>13000</v>
      </c>
      <c r="N144" t="s">
        <v>657</v>
      </c>
    </row>
    <row r="145" spans="1:14">
      <c r="A145" t="s">
        <v>797</v>
      </c>
      <c r="B145" t="s">
        <v>552</v>
      </c>
      <c r="C145" t="s">
        <v>553</v>
      </c>
      <c r="D145">
        <v>704825688</v>
      </c>
      <c r="E145">
        <v>726890467</v>
      </c>
      <c r="F145">
        <v>7000</v>
      </c>
      <c r="G145" t="s">
        <v>412</v>
      </c>
      <c r="H145">
        <v>500</v>
      </c>
      <c r="I145">
        <v>3000</v>
      </c>
      <c r="J145">
        <v>10000</v>
      </c>
      <c r="K145">
        <v>1667</v>
      </c>
      <c r="L145">
        <v>0</v>
      </c>
      <c r="M145">
        <v>10000</v>
      </c>
      <c r="N145" t="s">
        <v>43</v>
      </c>
    </row>
    <row r="146" spans="1:14">
      <c r="A146" t="s">
        <v>797</v>
      </c>
      <c r="B146" t="s">
        <v>795</v>
      </c>
      <c r="C146" t="s">
        <v>553</v>
      </c>
      <c r="D146">
        <v>711382851</v>
      </c>
      <c r="E146">
        <v>758274400</v>
      </c>
      <c r="F146">
        <v>5000</v>
      </c>
      <c r="G146" t="s">
        <v>413</v>
      </c>
      <c r="H146">
        <v>500</v>
      </c>
      <c r="I146">
        <v>1000</v>
      </c>
      <c r="J146">
        <v>6000</v>
      </c>
      <c r="K146">
        <v>1500</v>
      </c>
      <c r="L146">
        <v>0</v>
      </c>
      <c r="M146">
        <v>6000</v>
      </c>
      <c r="N146" t="s">
        <v>796</v>
      </c>
    </row>
    <row r="147" spans="1:14">
      <c r="A147" t="s">
        <v>797</v>
      </c>
      <c r="B147" t="s">
        <v>798</v>
      </c>
      <c r="C147" t="s">
        <v>642</v>
      </c>
      <c r="D147">
        <v>718659733</v>
      </c>
      <c r="E147">
        <v>790796424</v>
      </c>
      <c r="F147">
        <v>7000</v>
      </c>
      <c r="G147" t="s">
        <v>412</v>
      </c>
      <c r="H147">
        <v>500</v>
      </c>
      <c r="I147">
        <v>3000</v>
      </c>
      <c r="J147">
        <v>10000</v>
      </c>
      <c r="K147">
        <v>1667</v>
      </c>
      <c r="L147">
        <v>0</v>
      </c>
      <c r="M147">
        <v>10000</v>
      </c>
      <c r="N147" t="s">
        <v>43</v>
      </c>
    </row>
    <row r="148" spans="1:14">
      <c r="A148" t="s">
        <v>797</v>
      </c>
      <c r="B148" t="s">
        <v>117</v>
      </c>
      <c r="C148" t="s">
        <v>230</v>
      </c>
      <c r="D148">
        <v>729417206</v>
      </c>
      <c r="E148">
        <v>745945541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0</v>
      </c>
      <c r="M148">
        <v>13000</v>
      </c>
      <c r="N148" t="s">
        <v>43</v>
      </c>
    </row>
    <row r="149" spans="1:14">
      <c r="A149" t="s">
        <v>797</v>
      </c>
      <c r="B149" t="s">
        <v>50</v>
      </c>
      <c r="C149" t="s">
        <v>51</v>
      </c>
      <c r="D149">
        <v>718846710</v>
      </c>
      <c r="E149">
        <v>708382465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0</v>
      </c>
      <c r="M149">
        <v>15600</v>
      </c>
      <c r="N149" t="s">
        <v>657</v>
      </c>
    </row>
    <row r="150" spans="1:14">
      <c r="A150" t="s">
        <v>801</v>
      </c>
      <c r="B150" t="s">
        <v>101</v>
      </c>
      <c r="C150" t="s">
        <v>802</v>
      </c>
      <c r="D150">
        <v>706607577</v>
      </c>
      <c r="E150">
        <v>743458451</v>
      </c>
      <c r="F150">
        <v>10000</v>
      </c>
      <c r="G150" t="s">
        <v>412</v>
      </c>
      <c r="H150">
        <v>500</v>
      </c>
      <c r="I150">
        <v>3000</v>
      </c>
      <c r="J150">
        <v>13000</v>
      </c>
      <c r="K150">
        <v>2167</v>
      </c>
      <c r="L150">
        <v>0</v>
      </c>
      <c r="M150">
        <v>13000</v>
      </c>
      <c r="N150" t="s">
        <v>43</v>
      </c>
    </row>
    <row r="151" spans="1:14">
      <c r="A151" t="s">
        <v>803</v>
      </c>
      <c r="B151" t="s">
        <v>804</v>
      </c>
      <c r="C151" t="s">
        <v>206</v>
      </c>
      <c r="D151">
        <v>702028822</v>
      </c>
      <c r="E151">
        <v>713501528</v>
      </c>
      <c r="F151">
        <v>10000</v>
      </c>
      <c r="G151" t="s">
        <v>412</v>
      </c>
      <c r="H151">
        <v>500</v>
      </c>
      <c r="I151">
        <v>3000</v>
      </c>
      <c r="J151">
        <v>13000</v>
      </c>
      <c r="K151">
        <v>2167</v>
      </c>
      <c r="L151">
        <v>0</v>
      </c>
      <c r="M151">
        <v>13000</v>
      </c>
      <c r="N151" t="s">
        <v>66</v>
      </c>
    </row>
    <row r="152" spans="1:14">
      <c r="F152">
        <f>SUM(F2:F151)</f>
        <v>1531000</v>
      </c>
      <c r="L152">
        <f>SUM(L2:L151)</f>
        <v>573902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B4" sqref="B4"/>
    </sheetView>
  </sheetViews>
  <sheetFormatPr defaultRowHeight="15"/>
  <sheetData>
    <row r="1" spans="1:1">
      <c r="A1" s="33"/>
    </row>
    <row r="2" spans="1:1">
      <c r="A2" s="33"/>
    </row>
    <row r="3" spans="1:1">
      <c r="A3" s="33"/>
    </row>
    <row r="4" spans="1:1">
      <c r="A4" s="33"/>
    </row>
    <row r="5" spans="1:1">
      <c r="A5" s="33"/>
    </row>
    <row r="6" spans="1:1">
      <c r="A6" s="33"/>
    </row>
    <row r="7" spans="1:1">
      <c r="A7" s="33"/>
    </row>
    <row r="8" spans="1:1">
      <c r="A8" s="33"/>
    </row>
    <row r="9" spans="1:1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J1" sqref="J1"/>
    </sheetView>
  </sheetViews>
  <sheetFormatPr defaultRowHeight="15"/>
  <cols>
    <col min="1" max="1" width="10.7109375" customWidth="1"/>
    <col min="2" max="2" width="9.140625" hidden="1" customWidth="1"/>
    <col min="3" max="3" width="14.140625" customWidth="1"/>
    <col min="4" max="4" width="14" customWidth="1"/>
    <col min="5" max="5" width="11.42578125" customWidth="1"/>
    <col min="6" max="6" width="10.14062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"/>
  <sheetViews>
    <sheetView topLeftCell="A131" zoomScale="89" zoomScaleNormal="89" workbookViewId="0">
      <selection activeCell="A111" sqref="A111:N158"/>
    </sheetView>
  </sheetViews>
  <sheetFormatPr defaultRowHeight="15"/>
  <cols>
    <col min="1" max="1" width="13.85546875" customWidth="1"/>
    <col min="2" max="2" width="18" customWidth="1"/>
    <col min="3" max="3" width="17.5703125" customWidth="1"/>
    <col min="4" max="4" width="12.85546875" customWidth="1"/>
    <col min="5" max="5" width="14.42578125" customWidth="1"/>
    <col min="6" max="6" width="10.42578125" customWidth="1"/>
    <col min="7" max="7" width="8.7109375" customWidth="1"/>
    <col min="8" max="8" width="7.85546875" customWidth="1"/>
    <col min="9" max="9" width="9.140625" customWidth="1"/>
    <col min="10" max="10" width="9" customWidth="1"/>
    <col min="11" max="11" width="7.7109375" customWidth="1"/>
    <col min="12" max="12" width="9.140625" customWidth="1"/>
    <col min="13" max="13" width="9.7109375" customWidth="1"/>
    <col min="14" max="14" width="10" customWidth="1"/>
  </cols>
  <sheetData>
    <row r="1" spans="1:14" ht="36">
      <c r="A1" s="32" t="s">
        <v>0</v>
      </c>
      <c r="B1" s="1" t="s">
        <v>1</v>
      </c>
      <c r="C1" s="2" t="s">
        <v>2</v>
      </c>
      <c r="D1" s="3" t="s">
        <v>3</v>
      </c>
      <c r="E1" s="3" t="s">
        <v>809</v>
      </c>
      <c r="F1" s="3" t="s">
        <v>5</v>
      </c>
      <c r="G1" s="3" t="s">
        <v>810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98">
        <v>46089</v>
      </c>
      <c r="B2" t="s">
        <v>805</v>
      </c>
      <c r="C2" t="s">
        <v>239</v>
      </c>
      <c r="D2">
        <v>795544079</v>
      </c>
      <c r="E2">
        <v>713472309</v>
      </c>
      <c r="F2">
        <v>10000</v>
      </c>
      <c r="G2" t="s">
        <v>412</v>
      </c>
      <c r="H2">
        <v>500</v>
      </c>
      <c r="I2">
        <v>3000</v>
      </c>
      <c r="J2">
        <v>13000</v>
      </c>
      <c r="K2">
        <v>2167</v>
      </c>
      <c r="L2">
        <v>13000</v>
      </c>
      <c r="M2">
        <v>0</v>
      </c>
      <c r="N2" t="s">
        <v>43</v>
      </c>
    </row>
    <row r="3" spans="1:14">
      <c r="A3" s="98">
        <v>46089</v>
      </c>
      <c r="B3" t="s">
        <v>806</v>
      </c>
      <c r="C3" t="s">
        <v>740</v>
      </c>
      <c r="D3">
        <v>769573260</v>
      </c>
      <c r="E3">
        <v>702653933</v>
      </c>
      <c r="F3">
        <v>10000</v>
      </c>
      <c r="G3" t="s">
        <v>413</v>
      </c>
      <c r="H3">
        <v>500</v>
      </c>
      <c r="I3">
        <v>2000</v>
      </c>
      <c r="J3">
        <v>12000</v>
      </c>
      <c r="K3">
        <v>3000</v>
      </c>
      <c r="L3">
        <v>3000</v>
      </c>
      <c r="M3">
        <v>9000</v>
      </c>
      <c r="N3" t="s">
        <v>43</v>
      </c>
    </row>
    <row r="4" spans="1:14">
      <c r="A4" s="98">
        <v>46089</v>
      </c>
      <c r="B4" t="s">
        <v>687</v>
      </c>
      <c r="C4" t="s">
        <v>428</v>
      </c>
      <c r="D4">
        <v>740548417</v>
      </c>
      <c r="E4">
        <v>728108487</v>
      </c>
      <c r="F4">
        <v>5000</v>
      </c>
      <c r="G4" t="s">
        <v>413</v>
      </c>
      <c r="H4">
        <v>500</v>
      </c>
      <c r="I4">
        <v>1000</v>
      </c>
      <c r="J4">
        <v>6000</v>
      </c>
      <c r="K4">
        <v>1500</v>
      </c>
      <c r="L4">
        <v>6000</v>
      </c>
      <c r="M4">
        <v>0</v>
      </c>
      <c r="N4" t="s">
        <v>43</v>
      </c>
    </row>
    <row r="5" spans="1:14">
      <c r="A5" s="98">
        <v>46089</v>
      </c>
      <c r="B5" t="s">
        <v>58</v>
      </c>
      <c r="C5" t="s">
        <v>807</v>
      </c>
      <c r="D5">
        <v>714716360</v>
      </c>
      <c r="E5">
        <v>758589148</v>
      </c>
      <c r="F5">
        <v>10000</v>
      </c>
      <c r="G5" t="s">
        <v>412</v>
      </c>
      <c r="H5">
        <v>500</v>
      </c>
      <c r="I5">
        <v>3000</v>
      </c>
      <c r="J5">
        <v>13000</v>
      </c>
      <c r="K5">
        <v>2167</v>
      </c>
      <c r="L5">
        <v>13000</v>
      </c>
      <c r="M5">
        <v>0</v>
      </c>
      <c r="N5" t="s">
        <v>657</v>
      </c>
    </row>
    <row r="6" spans="1:14">
      <c r="A6" s="98">
        <v>46089</v>
      </c>
      <c r="B6" t="s">
        <v>94</v>
      </c>
      <c r="C6" t="s">
        <v>95</v>
      </c>
      <c r="D6">
        <v>726949202</v>
      </c>
      <c r="E6">
        <v>728731170</v>
      </c>
      <c r="F6">
        <v>7000</v>
      </c>
      <c r="G6" t="s">
        <v>413</v>
      </c>
      <c r="H6">
        <v>500</v>
      </c>
      <c r="I6">
        <v>2000</v>
      </c>
      <c r="J6">
        <v>9000</v>
      </c>
      <c r="K6">
        <v>2250</v>
      </c>
      <c r="L6">
        <v>9000</v>
      </c>
      <c r="M6">
        <v>0</v>
      </c>
      <c r="N6" t="s">
        <v>66</v>
      </c>
    </row>
    <row r="7" spans="1:14">
      <c r="A7" s="98">
        <v>46088</v>
      </c>
      <c r="B7" t="s">
        <v>808</v>
      </c>
      <c r="C7" t="s">
        <v>648</v>
      </c>
      <c r="D7">
        <v>729828281</v>
      </c>
      <c r="E7">
        <v>713328411</v>
      </c>
      <c r="F7">
        <v>7000</v>
      </c>
      <c r="G7" t="s">
        <v>412</v>
      </c>
      <c r="H7">
        <v>500</v>
      </c>
      <c r="I7">
        <v>3000</v>
      </c>
      <c r="J7">
        <v>10000</v>
      </c>
      <c r="K7">
        <v>1667</v>
      </c>
      <c r="L7">
        <v>10000</v>
      </c>
      <c r="M7">
        <v>0</v>
      </c>
      <c r="N7" t="s">
        <v>43</v>
      </c>
    </row>
    <row r="8" spans="1:14">
      <c r="A8" s="98">
        <v>46089</v>
      </c>
      <c r="B8" t="s">
        <v>312</v>
      </c>
      <c r="C8" t="s">
        <v>91</v>
      </c>
      <c r="D8">
        <v>714885607</v>
      </c>
      <c r="E8">
        <v>796216948</v>
      </c>
      <c r="F8">
        <v>12000</v>
      </c>
      <c r="G8" t="s">
        <v>412</v>
      </c>
      <c r="H8">
        <v>500</v>
      </c>
      <c r="I8">
        <v>3600</v>
      </c>
      <c r="J8">
        <v>15600</v>
      </c>
      <c r="K8">
        <v>2600</v>
      </c>
      <c r="L8">
        <v>15600</v>
      </c>
      <c r="M8">
        <v>0</v>
      </c>
      <c r="N8" t="s">
        <v>657</v>
      </c>
    </row>
    <row r="9" spans="1:14">
      <c r="A9" s="98">
        <v>46089</v>
      </c>
      <c r="B9" t="s">
        <v>811</v>
      </c>
      <c r="C9" t="s">
        <v>153</v>
      </c>
      <c r="D9">
        <v>741812510</v>
      </c>
      <c r="E9">
        <v>727707450</v>
      </c>
      <c r="F9">
        <v>8000</v>
      </c>
      <c r="G9" t="s">
        <v>412</v>
      </c>
      <c r="H9">
        <v>500</v>
      </c>
      <c r="I9">
        <v>3000</v>
      </c>
      <c r="J9">
        <v>11000</v>
      </c>
      <c r="K9">
        <v>1834</v>
      </c>
      <c r="L9">
        <v>11000</v>
      </c>
      <c r="M9">
        <v>0</v>
      </c>
      <c r="N9" t="s">
        <v>66</v>
      </c>
    </row>
    <row r="10" spans="1:14">
      <c r="A10" s="98">
        <v>46089</v>
      </c>
      <c r="B10" t="s">
        <v>812</v>
      </c>
      <c r="C10" t="s">
        <v>813</v>
      </c>
      <c r="D10">
        <v>740854760</v>
      </c>
      <c r="E10">
        <v>744847721</v>
      </c>
      <c r="F10">
        <v>10000</v>
      </c>
      <c r="G10" t="s">
        <v>412</v>
      </c>
      <c r="H10">
        <v>500</v>
      </c>
      <c r="I10">
        <v>3000</v>
      </c>
      <c r="J10">
        <v>13000</v>
      </c>
      <c r="K10">
        <v>2167</v>
      </c>
      <c r="L10">
        <v>13000</v>
      </c>
      <c r="M10">
        <v>0</v>
      </c>
      <c r="N10" t="s">
        <v>814</v>
      </c>
    </row>
    <row r="11" spans="1:14">
      <c r="A11" s="98">
        <v>46089</v>
      </c>
      <c r="B11" t="s">
        <v>815</v>
      </c>
      <c r="C11" t="s">
        <v>165</v>
      </c>
      <c r="D11">
        <v>742982500</v>
      </c>
      <c r="E11">
        <v>723791251</v>
      </c>
      <c r="F11">
        <v>8000</v>
      </c>
      <c r="G11" t="s">
        <v>412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43</v>
      </c>
    </row>
    <row r="12" spans="1:14">
      <c r="A12" s="98">
        <v>46089</v>
      </c>
      <c r="B12" t="s">
        <v>36</v>
      </c>
      <c r="C12" t="s">
        <v>37</v>
      </c>
      <c r="D12">
        <v>710540080</v>
      </c>
      <c r="E12">
        <v>724066021</v>
      </c>
      <c r="F12">
        <v>15000</v>
      </c>
      <c r="G12" t="s">
        <v>412</v>
      </c>
      <c r="H12">
        <v>500</v>
      </c>
      <c r="I12">
        <v>4500</v>
      </c>
      <c r="J12">
        <v>19500</v>
      </c>
      <c r="K12">
        <v>3250</v>
      </c>
      <c r="L12">
        <v>19500</v>
      </c>
      <c r="M12">
        <v>0</v>
      </c>
      <c r="N12" t="s">
        <v>657</v>
      </c>
    </row>
    <row r="13" spans="1:14">
      <c r="A13" s="98">
        <v>46089</v>
      </c>
      <c r="B13" t="s">
        <v>671</v>
      </c>
      <c r="C13" t="s">
        <v>672</v>
      </c>
      <c r="D13">
        <v>118525881</v>
      </c>
      <c r="E13">
        <v>794400120</v>
      </c>
      <c r="F13">
        <v>7000</v>
      </c>
      <c r="G13" t="s">
        <v>412</v>
      </c>
      <c r="H13">
        <v>500</v>
      </c>
      <c r="I13">
        <v>3000</v>
      </c>
      <c r="J13">
        <v>10000</v>
      </c>
      <c r="K13">
        <v>1667</v>
      </c>
      <c r="L13">
        <v>1667</v>
      </c>
      <c r="M13">
        <v>8333</v>
      </c>
      <c r="N13" t="s">
        <v>66</v>
      </c>
    </row>
    <row r="14" spans="1:14">
      <c r="A14" s="98">
        <v>46089</v>
      </c>
      <c r="B14" t="s">
        <v>223</v>
      </c>
      <c r="C14" t="s">
        <v>224</v>
      </c>
      <c r="D14">
        <v>112149690</v>
      </c>
      <c r="E14">
        <v>759900772</v>
      </c>
      <c r="F14">
        <v>20000</v>
      </c>
      <c r="G14" t="s">
        <v>412</v>
      </c>
      <c r="H14">
        <v>500</v>
      </c>
      <c r="I14">
        <v>6000</v>
      </c>
      <c r="J14">
        <v>26000</v>
      </c>
      <c r="K14">
        <v>4334</v>
      </c>
      <c r="L14">
        <v>26000</v>
      </c>
      <c r="M14">
        <v>0</v>
      </c>
      <c r="N14" t="s">
        <v>43</v>
      </c>
    </row>
    <row r="15" spans="1:14">
      <c r="A15" s="98">
        <v>46089</v>
      </c>
      <c r="B15" t="s">
        <v>668</v>
      </c>
      <c r="C15" t="s">
        <v>113</v>
      </c>
      <c r="D15">
        <v>711973607</v>
      </c>
      <c r="E15">
        <v>742103835</v>
      </c>
      <c r="F15">
        <v>20000</v>
      </c>
      <c r="G15" t="s">
        <v>532</v>
      </c>
      <c r="H15">
        <v>500</v>
      </c>
      <c r="I15">
        <v>4000</v>
      </c>
      <c r="J15">
        <v>24000</v>
      </c>
      <c r="K15">
        <v>6000</v>
      </c>
      <c r="L15">
        <v>24000</v>
      </c>
      <c r="M15">
        <v>0</v>
      </c>
      <c r="N15" t="s">
        <v>43</v>
      </c>
    </row>
    <row r="16" spans="1:14">
      <c r="A16" s="98">
        <v>46089</v>
      </c>
      <c r="B16" t="s">
        <v>107</v>
      </c>
      <c r="C16" t="s">
        <v>108</v>
      </c>
      <c r="D16">
        <v>719700664</v>
      </c>
      <c r="E16">
        <v>10774841</v>
      </c>
      <c r="F16">
        <v>7000</v>
      </c>
      <c r="G16" t="s">
        <v>412</v>
      </c>
      <c r="H16">
        <v>500</v>
      </c>
      <c r="I16">
        <v>3000</v>
      </c>
      <c r="J16">
        <v>10000</v>
      </c>
      <c r="K16">
        <v>1667</v>
      </c>
      <c r="L16">
        <v>10000</v>
      </c>
      <c r="M16">
        <v>0</v>
      </c>
      <c r="N16" t="s">
        <v>657</v>
      </c>
    </row>
    <row r="17" spans="1:14">
      <c r="A17" s="98">
        <v>46089</v>
      </c>
      <c r="B17" t="s">
        <v>629</v>
      </c>
      <c r="C17" t="s">
        <v>630</v>
      </c>
      <c r="D17">
        <v>707593937</v>
      </c>
      <c r="E17">
        <v>704452061</v>
      </c>
      <c r="F17">
        <v>7000</v>
      </c>
      <c r="G17" t="s">
        <v>412</v>
      </c>
      <c r="H17">
        <v>500</v>
      </c>
      <c r="I17">
        <v>3000</v>
      </c>
      <c r="J17">
        <v>10000</v>
      </c>
      <c r="K17">
        <v>1667</v>
      </c>
      <c r="L17">
        <v>10000</v>
      </c>
      <c r="M17">
        <v>0</v>
      </c>
      <c r="N17" t="s">
        <v>657</v>
      </c>
    </row>
    <row r="18" spans="1:14">
      <c r="A18" s="98">
        <v>46120</v>
      </c>
      <c r="B18" t="s">
        <v>706</v>
      </c>
      <c r="C18" t="s">
        <v>178</v>
      </c>
      <c r="D18">
        <v>790244173</v>
      </c>
      <c r="E18">
        <v>768208209</v>
      </c>
      <c r="F18">
        <v>10000</v>
      </c>
      <c r="G18" t="s">
        <v>412</v>
      </c>
      <c r="H18">
        <v>500</v>
      </c>
      <c r="I18">
        <v>3000</v>
      </c>
      <c r="J18">
        <v>13000</v>
      </c>
      <c r="K18">
        <v>2167</v>
      </c>
      <c r="L18">
        <v>4015</v>
      </c>
      <c r="M18">
        <v>8985</v>
      </c>
      <c r="N18" t="s">
        <v>657</v>
      </c>
    </row>
    <row r="19" spans="1:14">
      <c r="A19" s="98">
        <v>46120</v>
      </c>
      <c r="B19" t="s">
        <v>816</v>
      </c>
      <c r="C19" t="s">
        <v>526</v>
      </c>
      <c r="D19">
        <v>714076538</v>
      </c>
      <c r="E19">
        <v>798654955</v>
      </c>
      <c r="F19">
        <v>10000</v>
      </c>
      <c r="G19" t="s">
        <v>413</v>
      </c>
      <c r="H19">
        <v>500</v>
      </c>
      <c r="I19">
        <v>2000</v>
      </c>
      <c r="J19">
        <v>12000</v>
      </c>
      <c r="K19">
        <v>3000</v>
      </c>
      <c r="L19">
        <v>12000</v>
      </c>
      <c r="M19">
        <v>0</v>
      </c>
      <c r="N19" t="s">
        <v>657</v>
      </c>
    </row>
    <row r="20" spans="1:14">
      <c r="A20" s="98">
        <v>46120</v>
      </c>
      <c r="B20" t="s">
        <v>724</v>
      </c>
      <c r="C20" t="s">
        <v>597</v>
      </c>
      <c r="D20">
        <v>718871498</v>
      </c>
      <c r="E20">
        <v>700144012</v>
      </c>
      <c r="F20">
        <v>7000</v>
      </c>
      <c r="G20" t="s">
        <v>412</v>
      </c>
      <c r="H20">
        <v>500</v>
      </c>
      <c r="I20">
        <v>3000</v>
      </c>
      <c r="J20">
        <v>10000</v>
      </c>
      <c r="K20">
        <v>1667</v>
      </c>
      <c r="L20">
        <v>10000</v>
      </c>
      <c r="M20">
        <v>0</v>
      </c>
      <c r="N20" t="s">
        <v>66</v>
      </c>
    </row>
    <row r="21" spans="1:14">
      <c r="A21" s="98">
        <v>46120</v>
      </c>
      <c r="B21" t="s">
        <v>817</v>
      </c>
      <c r="C21" t="s">
        <v>522</v>
      </c>
      <c r="D21">
        <v>704746868</v>
      </c>
      <c r="E21">
        <v>713101470</v>
      </c>
      <c r="F21">
        <v>5000</v>
      </c>
      <c r="G21" t="s">
        <v>413</v>
      </c>
      <c r="H21">
        <v>500</v>
      </c>
      <c r="I21">
        <v>1000</v>
      </c>
      <c r="J21">
        <v>6000</v>
      </c>
      <c r="K21">
        <v>1500</v>
      </c>
      <c r="L21">
        <v>6000</v>
      </c>
      <c r="M21">
        <v>0</v>
      </c>
      <c r="N21" t="s">
        <v>66</v>
      </c>
    </row>
    <row r="22" spans="1:14">
      <c r="A22" s="98">
        <v>46120</v>
      </c>
      <c r="B22" t="s">
        <v>818</v>
      </c>
      <c r="C22" t="s">
        <v>819</v>
      </c>
      <c r="D22">
        <v>7922579608</v>
      </c>
      <c r="E22">
        <v>743748162</v>
      </c>
      <c r="F22">
        <v>10000</v>
      </c>
      <c r="G22" t="s">
        <v>412</v>
      </c>
      <c r="H22">
        <v>500</v>
      </c>
      <c r="I22">
        <v>3000</v>
      </c>
      <c r="J22">
        <v>13000</v>
      </c>
      <c r="K22">
        <v>2167</v>
      </c>
      <c r="L22">
        <v>13000</v>
      </c>
      <c r="M22">
        <v>0</v>
      </c>
      <c r="N22" t="s">
        <v>814</v>
      </c>
    </row>
    <row r="23" spans="1:14">
      <c r="A23" s="98">
        <v>46120</v>
      </c>
      <c r="B23" t="s">
        <v>627</v>
      </c>
      <c r="C23" t="s">
        <v>738</v>
      </c>
      <c r="D23">
        <v>794416300</v>
      </c>
      <c r="E23">
        <v>728397868</v>
      </c>
      <c r="F23">
        <v>7000</v>
      </c>
      <c r="G23" t="s">
        <v>412</v>
      </c>
      <c r="H23">
        <v>500</v>
      </c>
      <c r="I23">
        <v>3000</v>
      </c>
      <c r="J23">
        <v>10000</v>
      </c>
      <c r="K23">
        <v>1667</v>
      </c>
      <c r="L23">
        <v>10000</v>
      </c>
      <c r="M23">
        <v>0</v>
      </c>
      <c r="N23" t="s">
        <v>66</v>
      </c>
    </row>
    <row r="24" spans="1:14">
      <c r="A24" s="98">
        <v>46150</v>
      </c>
      <c r="B24" t="s">
        <v>596</v>
      </c>
      <c r="C24" t="s">
        <v>698</v>
      </c>
      <c r="D24">
        <v>116140156</v>
      </c>
      <c r="E24">
        <v>798372422</v>
      </c>
      <c r="F24">
        <v>17000</v>
      </c>
      <c r="G24" t="s">
        <v>412</v>
      </c>
      <c r="H24">
        <v>500</v>
      </c>
      <c r="I24">
        <v>4500</v>
      </c>
      <c r="J24">
        <v>21800</v>
      </c>
      <c r="K24">
        <v>3684</v>
      </c>
      <c r="L24">
        <v>21800</v>
      </c>
      <c r="M24">
        <v>0</v>
      </c>
      <c r="N24" t="s">
        <v>43</v>
      </c>
    </row>
    <row r="25" spans="1:14">
      <c r="A25" s="98">
        <v>46150</v>
      </c>
      <c r="B25" t="s">
        <v>331</v>
      </c>
      <c r="C25" t="s">
        <v>332</v>
      </c>
      <c r="D25">
        <v>701035799</v>
      </c>
      <c r="E25">
        <v>703322932</v>
      </c>
      <c r="F25">
        <v>12000</v>
      </c>
      <c r="G25" t="s">
        <v>413</v>
      </c>
      <c r="H25">
        <v>500</v>
      </c>
      <c r="I25">
        <v>2400</v>
      </c>
      <c r="J25">
        <v>14400</v>
      </c>
      <c r="K25">
        <v>3600</v>
      </c>
      <c r="L25">
        <v>14400</v>
      </c>
      <c r="M25">
        <v>0</v>
      </c>
      <c r="N25" t="s">
        <v>66</v>
      </c>
    </row>
    <row r="26" spans="1:14">
      <c r="A26" s="98">
        <v>46150</v>
      </c>
      <c r="B26" t="s">
        <v>103</v>
      </c>
      <c r="C26" t="s">
        <v>104</v>
      </c>
      <c r="D26">
        <v>794029149</v>
      </c>
      <c r="E26">
        <v>717512042</v>
      </c>
      <c r="F26">
        <v>7000</v>
      </c>
      <c r="G26" t="s">
        <v>412</v>
      </c>
      <c r="H26">
        <v>500</v>
      </c>
      <c r="I26">
        <v>3000</v>
      </c>
      <c r="J26">
        <v>10000</v>
      </c>
      <c r="K26">
        <v>1667</v>
      </c>
      <c r="L26">
        <v>10000</v>
      </c>
      <c r="M26">
        <v>0</v>
      </c>
      <c r="N26" t="s">
        <v>66</v>
      </c>
    </row>
    <row r="27" spans="1:14">
      <c r="A27" s="98">
        <v>46181</v>
      </c>
      <c r="B27" t="s">
        <v>190</v>
      </c>
      <c r="C27" t="s">
        <v>192</v>
      </c>
      <c r="D27">
        <v>704163771</v>
      </c>
      <c r="E27">
        <v>727306592</v>
      </c>
      <c r="F27">
        <v>20000</v>
      </c>
      <c r="G27" t="s">
        <v>413</v>
      </c>
      <c r="H27">
        <v>500</v>
      </c>
      <c r="I27">
        <v>4000</v>
      </c>
      <c r="J27">
        <v>24000</v>
      </c>
      <c r="K27">
        <v>6000</v>
      </c>
      <c r="L27">
        <v>24000</v>
      </c>
      <c r="M27">
        <v>0</v>
      </c>
      <c r="N27" t="s">
        <v>43</v>
      </c>
    </row>
    <row r="28" spans="1:14">
      <c r="A28" s="98">
        <v>46181</v>
      </c>
      <c r="B28" t="s">
        <v>821</v>
      </c>
      <c r="C28" t="s">
        <v>820</v>
      </c>
      <c r="D28">
        <v>757091865</v>
      </c>
      <c r="E28">
        <v>725084524</v>
      </c>
      <c r="F28">
        <v>7000</v>
      </c>
      <c r="G28" t="s">
        <v>412</v>
      </c>
      <c r="H28">
        <v>500</v>
      </c>
      <c r="I28">
        <v>3000</v>
      </c>
      <c r="J28">
        <v>10000</v>
      </c>
      <c r="K28">
        <v>1667</v>
      </c>
      <c r="L28">
        <v>10000</v>
      </c>
      <c r="M28">
        <v>0</v>
      </c>
      <c r="N28" t="s">
        <v>66</v>
      </c>
    </row>
    <row r="29" spans="1:14">
      <c r="A29" s="98">
        <v>46211</v>
      </c>
      <c r="B29" t="s">
        <v>288</v>
      </c>
      <c r="C29" t="s">
        <v>675</v>
      </c>
      <c r="D29">
        <v>719105265</v>
      </c>
      <c r="E29">
        <v>726580019</v>
      </c>
      <c r="F29">
        <v>10000</v>
      </c>
      <c r="G29" t="s">
        <v>412</v>
      </c>
      <c r="H29">
        <v>500</v>
      </c>
      <c r="I29">
        <v>3000</v>
      </c>
      <c r="J29">
        <v>13000</v>
      </c>
      <c r="K29">
        <v>2167</v>
      </c>
      <c r="L29">
        <v>13000</v>
      </c>
      <c r="M29">
        <v>0</v>
      </c>
      <c r="N29" t="s">
        <v>66</v>
      </c>
    </row>
    <row r="30" spans="1:14">
      <c r="A30" s="98">
        <v>46211</v>
      </c>
      <c r="B30" t="s">
        <v>672</v>
      </c>
      <c r="C30" t="s">
        <v>822</v>
      </c>
      <c r="D30">
        <v>794400120</v>
      </c>
      <c r="E30">
        <v>7200886677</v>
      </c>
      <c r="F30">
        <v>5000</v>
      </c>
      <c r="G30" t="s">
        <v>413</v>
      </c>
      <c r="H30">
        <v>500</v>
      </c>
      <c r="I30">
        <v>1000</v>
      </c>
      <c r="J30">
        <v>6000</v>
      </c>
      <c r="K30">
        <v>1500</v>
      </c>
      <c r="L30">
        <v>6000</v>
      </c>
      <c r="M30">
        <v>0</v>
      </c>
      <c r="N30" t="s">
        <v>814</v>
      </c>
    </row>
    <row r="31" spans="1:14">
      <c r="A31" s="98">
        <v>46211</v>
      </c>
      <c r="B31" t="s">
        <v>295</v>
      </c>
      <c r="C31" t="s">
        <v>823</v>
      </c>
      <c r="D31">
        <v>723865952</v>
      </c>
      <c r="E31">
        <v>727828552</v>
      </c>
      <c r="F31">
        <v>7000</v>
      </c>
      <c r="G31" t="s">
        <v>413</v>
      </c>
      <c r="H31">
        <v>500</v>
      </c>
      <c r="I31">
        <v>2000</v>
      </c>
      <c r="J31">
        <v>9000</v>
      </c>
      <c r="K31">
        <v>2250</v>
      </c>
      <c r="L31">
        <v>4500</v>
      </c>
      <c r="M31">
        <v>4500</v>
      </c>
      <c r="N31" t="s">
        <v>814</v>
      </c>
    </row>
    <row r="32" spans="1:14">
      <c r="A32" s="98">
        <v>46211</v>
      </c>
      <c r="B32" t="s">
        <v>824</v>
      </c>
      <c r="C32" t="s">
        <v>825</v>
      </c>
      <c r="D32">
        <v>700092313</v>
      </c>
      <c r="E32">
        <v>723376728</v>
      </c>
      <c r="F32">
        <v>8000</v>
      </c>
      <c r="G32" t="s">
        <v>413</v>
      </c>
      <c r="H32">
        <v>500</v>
      </c>
      <c r="I32">
        <v>2000</v>
      </c>
      <c r="J32">
        <v>10000</v>
      </c>
      <c r="K32">
        <v>2500</v>
      </c>
      <c r="L32">
        <v>10000</v>
      </c>
      <c r="M32">
        <v>0</v>
      </c>
      <c r="N32" t="s">
        <v>814</v>
      </c>
    </row>
    <row r="33" spans="1:14">
      <c r="A33" s="98">
        <v>46211</v>
      </c>
      <c r="B33" t="s">
        <v>18</v>
      </c>
      <c r="C33" t="s">
        <v>826</v>
      </c>
      <c r="D33">
        <v>113300495</v>
      </c>
      <c r="E33">
        <v>721920114</v>
      </c>
      <c r="F33">
        <v>5000</v>
      </c>
      <c r="G33" t="s">
        <v>413</v>
      </c>
      <c r="H33">
        <v>500</v>
      </c>
      <c r="I33">
        <v>1000</v>
      </c>
      <c r="J33">
        <v>6000</v>
      </c>
      <c r="K33">
        <v>1500</v>
      </c>
      <c r="L33">
        <v>6000</v>
      </c>
      <c r="M33">
        <v>0</v>
      </c>
      <c r="N33" t="s">
        <v>657</v>
      </c>
    </row>
    <row r="34" spans="1:14">
      <c r="A34" s="98">
        <v>46211</v>
      </c>
      <c r="B34" t="s">
        <v>206</v>
      </c>
      <c r="C34" t="s">
        <v>207</v>
      </c>
      <c r="D34">
        <v>711410254</v>
      </c>
      <c r="E34">
        <v>715257237</v>
      </c>
      <c r="F34">
        <v>7000</v>
      </c>
      <c r="G34" t="s">
        <v>412</v>
      </c>
      <c r="H34">
        <v>500</v>
      </c>
      <c r="I34">
        <v>3000</v>
      </c>
      <c r="J34">
        <v>10000</v>
      </c>
      <c r="K34">
        <v>2167</v>
      </c>
      <c r="L34">
        <v>2665</v>
      </c>
      <c r="M34">
        <v>7335</v>
      </c>
      <c r="N34" t="s">
        <v>43</v>
      </c>
    </row>
    <row r="35" spans="1:14">
      <c r="A35" s="98">
        <v>46211</v>
      </c>
      <c r="B35" t="s">
        <v>827</v>
      </c>
      <c r="C35" t="s">
        <v>600</v>
      </c>
      <c r="D35">
        <v>715577248</v>
      </c>
      <c r="E35">
        <v>741463602</v>
      </c>
      <c r="F35">
        <v>5000</v>
      </c>
      <c r="G35" t="s">
        <v>413</v>
      </c>
      <c r="H35">
        <v>500</v>
      </c>
      <c r="I35">
        <v>1000</v>
      </c>
      <c r="J35">
        <v>6000</v>
      </c>
      <c r="K35">
        <v>1500</v>
      </c>
      <c r="L35">
        <v>6000</v>
      </c>
      <c r="M35">
        <v>0</v>
      </c>
      <c r="N35" t="s">
        <v>43</v>
      </c>
    </row>
    <row r="36" spans="1:14">
      <c r="A36" s="98">
        <v>46211</v>
      </c>
      <c r="B36" t="s">
        <v>155</v>
      </c>
      <c r="C36" t="s">
        <v>828</v>
      </c>
      <c r="D36">
        <v>720241837</v>
      </c>
      <c r="E36">
        <v>794326731</v>
      </c>
      <c r="F36">
        <v>10000</v>
      </c>
      <c r="G36" t="s">
        <v>413</v>
      </c>
      <c r="H36">
        <v>500</v>
      </c>
      <c r="I36">
        <v>2000</v>
      </c>
      <c r="J36">
        <v>12000</v>
      </c>
      <c r="K36">
        <v>3000</v>
      </c>
      <c r="L36">
        <v>12000</v>
      </c>
      <c r="M36">
        <v>0</v>
      </c>
      <c r="N36" t="s">
        <v>66</v>
      </c>
    </row>
    <row r="37" spans="1:14">
      <c r="A37" s="98">
        <v>46211</v>
      </c>
      <c r="B37" t="s">
        <v>150</v>
      </c>
      <c r="C37" t="s">
        <v>645</v>
      </c>
      <c r="D37">
        <v>702599233</v>
      </c>
      <c r="E37">
        <v>797584851</v>
      </c>
      <c r="F37">
        <v>7000</v>
      </c>
      <c r="G37" t="s">
        <v>412</v>
      </c>
      <c r="H37">
        <v>500</v>
      </c>
      <c r="I37">
        <v>3000</v>
      </c>
      <c r="J37">
        <v>10000</v>
      </c>
      <c r="K37">
        <v>1667</v>
      </c>
      <c r="L37">
        <v>1667</v>
      </c>
      <c r="M37">
        <v>8333</v>
      </c>
      <c r="N37" t="s">
        <v>657</v>
      </c>
    </row>
    <row r="38" spans="1:14">
      <c r="A38" s="98">
        <v>46211</v>
      </c>
      <c r="B38" t="s">
        <v>681</v>
      </c>
      <c r="C38" t="s">
        <v>682</v>
      </c>
      <c r="D38">
        <v>720552419</v>
      </c>
      <c r="E38">
        <v>756240295</v>
      </c>
      <c r="F38">
        <v>7000</v>
      </c>
      <c r="G38" t="s">
        <v>412</v>
      </c>
      <c r="H38">
        <v>500</v>
      </c>
      <c r="I38">
        <v>2000</v>
      </c>
      <c r="J38">
        <v>10000</v>
      </c>
      <c r="K38">
        <v>1667</v>
      </c>
      <c r="L38">
        <v>10000</v>
      </c>
      <c r="M38">
        <v>0</v>
      </c>
      <c r="N38" t="s">
        <v>66</v>
      </c>
    </row>
    <row r="39" spans="1:14">
      <c r="A39" s="98">
        <v>46303</v>
      </c>
      <c r="B39" t="s">
        <v>669</v>
      </c>
      <c r="C39" t="s">
        <v>670</v>
      </c>
      <c r="D39">
        <v>724446422</v>
      </c>
      <c r="E39">
        <v>726768133</v>
      </c>
      <c r="F39">
        <v>5000</v>
      </c>
      <c r="G39" t="s">
        <v>413</v>
      </c>
      <c r="H39">
        <v>500</v>
      </c>
      <c r="I39">
        <v>1000</v>
      </c>
      <c r="J39">
        <v>6000</v>
      </c>
      <c r="K39">
        <v>1500</v>
      </c>
      <c r="L39">
        <v>6000</v>
      </c>
      <c r="M39">
        <v>0</v>
      </c>
      <c r="N39" t="s">
        <v>66</v>
      </c>
    </row>
    <row r="40" spans="1:14">
      <c r="A40" s="98">
        <v>46303</v>
      </c>
      <c r="B40" t="s">
        <v>32</v>
      </c>
      <c r="C40" t="s">
        <v>683</v>
      </c>
      <c r="D40">
        <v>711227118</v>
      </c>
      <c r="E40">
        <v>724382862</v>
      </c>
      <c r="F40">
        <v>30000</v>
      </c>
      <c r="G40" t="s">
        <v>412</v>
      </c>
      <c r="H40">
        <v>500</v>
      </c>
      <c r="I40">
        <v>10500</v>
      </c>
      <c r="J40">
        <v>40500</v>
      </c>
      <c r="K40">
        <v>6750</v>
      </c>
      <c r="L40">
        <v>40500</v>
      </c>
      <c r="M40">
        <v>0</v>
      </c>
      <c r="N40" t="s">
        <v>657</v>
      </c>
    </row>
    <row r="41" spans="1:14">
      <c r="A41" s="98">
        <v>46303</v>
      </c>
      <c r="B41" t="s">
        <v>690</v>
      </c>
      <c r="C41" t="s">
        <v>633</v>
      </c>
      <c r="D41">
        <v>724051213</v>
      </c>
      <c r="E41">
        <v>707234349</v>
      </c>
      <c r="F41">
        <v>7000</v>
      </c>
      <c r="G41" t="s">
        <v>532</v>
      </c>
      <c r="H41">
        <v>500</v>
      </c>
      <c r="I41">
        <v>3000</v>
      </c>
      <c r="J41">
        <v>10000</v>
      </c>
      <c r="K41">
        <v>2250</v>
      </c>
      <c r="L41">
        <v>9000</v>
      </c>
      <c r="M41">
        <v>0</v>
      </c>
      <c r="N41" t="s">
        <v>66</v>
      </c>
    </row>
    <row r="42" spans="1:14">
      <c r="A42" s="98">
        <v>46303</v>
      </c>
      <c r="B42" t="s">
        <v>713</v>
      </c>
      <c r="C42" t="s">
        <v>714</v>
      </c>
      <c r="D42">
        <v>798632927</v>
      </c>
      <c r="E42">
        <v>720323599</v>
      </c>
      <c r="F42">
        <v>10000</v>
      </c>
      <c r="G42" t="s">
        <v>413</v>
      </c>
      <c r="H42">
        <v>500</v>
      </c>
      <c r="I42">
        <v>3000</v>
      </c>
      <c r="J42">
        <v>12000</v>
      </c>
      <c r="K42">
        <v>3000</v>
      </c>
      <c r="L42">
        <v>12000</v>
      </c>
      <c r="M42">
        <v>0</v>
      </c>
      <c r="N42" t="s">
        <v>66</v>
      </c>
    </row>
    <row r="43" spans="1:14">
      <c r="A43" s="98">
        <v>46303</v>
      </c>
      <c r="B43" t="s">
        <v>284</v>
      </c>
      <c r="C43" t="s">
        <v>711</v>
      </c>
      <c r="D43">
        <v>715228494</v>
      </c>
      <c r="E43">
        <v>727816849</v>
      </c>
      <c r="F43">
        <v>10000</v>
      </c>
      <c r="G43" t="s">
        <v>413</v>
      </c>
      <c r="H43">
        <v>500</v>
      </c>
      <c r="I43">
        <v>3000</v>
      </c>
      <c r="J43">
        <v>12000</v>
      </c>
      <c r="K43">
        <v>3000</v>
      </c>
      <c r="L43">
        <v>12000</v>
      </c>
      <c r="M43">
        <v>0</v>
      </c>
      <c r="N43" t="s">
        <v>66</v>
      </c>
    </row>
    <row r="44" spans="1:14">
      <c r="A44" s="98">
        <v>46303</v>
      </c>
      <c r="B44" t="s">
        <v>61</v>
      </c>
      <c r="C44" t="s">
        <v>559</v>
      </c>
      <c r="D44">
        <v>705304253</v>
      </c>
      <c r="E44">
        <v>706841567</v>
      </c>
      <c r="F44">
        <v>9000</v>
      </c>
      <c r="G44" t="s">
        <v>412</v>
      </c>
      <c r="H44">
        <v>500</v>
      </c>
      <c r="I44">
        <v>3000</v>
      </c>
      <c r="J44">
        <v>12000</v>
      </c>
      <c r="K44">
        <v>2000</v>
      </c>
      <c r="L44">
        <v>12000</v>
      </c>
      <c r="M44">
        <v>0</v>
      </c>
      <c r="N44" t="s">
        <v>657</v>
      </c>
    </row>
    <row r="45" spans="1:14">
      <c r="A45" s="98">
        <v>46303</v>
      </c>
      <c r="B45" t="s">
        <v>719</v>
      </c>
      <c r="C45" t="s">
        <v>720</v>
      </c>
      <c r="D45">
        <v>718400068</v>
      </c>
      <c r="E45">
        <v>700515009</v>
      </c>
      <c r="F45">
        <v>10000</v>
      </c>
      <c r="G45" t="s">
        <v>412</v>
      </c>
      <c r="H45">
        <v>500</v>
      </c>
      <c r="I45">
        <v>3000</v>
      </c>
      <c r="J45">
        <v>13000</v>
      </c>
      <c r="K45">
        <v>2167</v>
      </c>
      <c r="L45">
        <v>13000</v>
      </c>
      <c r="M45">
        <v>0</v>
      </c>
      <c r="N45" t="s">
        <v>66</v>
      </c>
    </row>
    <row r="46" spans="1:14">
      <c r="A46" s="98">
        <v>46303</v>
      </c>
      <c r="B46" t="s">
        <v>780</v>
      </c>
      <c r="C46" t="s">
        <v>781</v>
      </c>
      <c r="D46">
        <v>758849257</v>
      </c>
      <c r="E46">
        <v>748300019</v>
      </c>
      <c r="F46">
        <v>8000</v>
      </c>
      <c r="G46" t="s">
        <v>413</v>
      </c>
      <c r="H46">
        <v>500</v>
      </c>
      <c r="I46">
        <v>2000</v>
      </c>
      <c r="J46">
        <v>10000</v>
      </c>
      <c r="K46">
        <v>2500</v>
      </c>
      <c r="L46">
        <v>10000</v>
      </c>
      <c r="M46">
        <v>0</v>
      </c>
      <c r="N46" t="s">
        <v>66</v>
      </c>
    </row>
    <row r="47" spans="1:14">
      <c r="A47" s="98">
        <v>46303</v>
      </c>
      <c r="B47" t="s">
        <v>143</v>
      </c>
      <c r="C47" t="s">
        <v>829</v>
      </c>
      <c r="D47">
        <v>797584851</v>
      </c>
      <c r="E47">
        <v>703215864</v>
      </c>
      <c r="F47">
        <v>5000</v>
      </c>
      <c r="G47" t="s">
        <v>413</v>
      </c>
      <c r="H47">
        <v>500</v>
      </c>
      <c r="I47">
        <v>1000</v>
      </c>
      <c r="J47">
        <v>6000</v>
      </c>
      <c r="K47">
        <v>1500</v>
      </c>
      <c r="L47">
        <v>6000</v>
      </c>
      <c r="M47">
        <v>0</v>
      </c>
      <c r="N47" t="s">
        <v>657</v>
      </c>
    </row>
    <row r="48" spans="1:14">
      <c r="A48" s="98">
        <v>46303</v>
      </c>
      <c r="B48" t="s">
        <v>528</v>
      </c>
      <c r="C48" t="s">
        <v>294</v>
      </c>
      <c r="D48">
        <v>724350985</v>
      </c>
      <c r="E48">
        <v>796102762</v>
      </c>
      <c r="F48">
        <v>10000</v>
      </c>
      <c r="G48" t="s">
        <v>413</v>
      </c>
      <c r="H48">
        <v>500</v>
      </c>
      <c r="I48">
        <v>2000</v>
      </c>
      <c r="J48">
        <v>12000</v>
      </c>
      <c r="K48">
        <v>3000</v>
      </c>
      <c r="L48">
        <v>7100</v>
      </c>
      <c r="M48">
        <v>4999</v>
      </c>
      <c r="N48" t="s">
        <v>66</v>
      </c>
    </row>
    <row r="49" spans="1:14">
      <c r="A49" s="98">
        <v>46303</v>
      </c>
      <c r="B49" t="s">
        <v>661</v>
      </c>
      <c r="C49" t="s">
        <v>662</v>
      </c>
      <c r="D49">
        <v>724164082</v>
      </c>
      <c r="E49">
        <v>727992553</v>
      </c>
      <c r="F49">
        <v>10000</v>
      </c>
      <c r="G49" t="s">
        <v>413</v>
      </c>
      <c r="H49">
        <v>500</v>
      </c>
      <c r="I49">
        <v>2000</v>
      </c>
      <c r="J49">
        <v>12000</v>
      </c>
      <c r="K49">
        <v>3000</v>
      </c>
      <c r="L49">
        <v>12000</v>
      </c>
      <c r="M49">
        <v>0</v>
      </c>
      <c r="N49" t="s">
        <v>657</v>
      </c>
    </row>
    <row r="50" spans="1:14">
      <c r="A50" s="98">
        <v>46303</v>
      </c>
      <c r="B50" t="s">
        <v>830</v>
      </c>
      <c r="C50" t="s">
        <v>831</v>
      </c>
      <c r="D50">
        <v>715747806</v>
      </c>
      <c r="E50">
        <v>798764337</v>
      </c>
      <c r="F50">
        <v>7000</v>
      </c>
      <c r="G50" t="s">
        <v>412</v>
      </c>
      <c r="H50">
        <v>500</v>
      </c>
      <c r="I50">
        <v>3000</v>
      </c>
      <c r="J50">
        <v>10000</v>
      </c>
      <c r="K50">
        <v>1667</v>
      </c>
      <c r="L50">
        <v>3332</v>
      </c>
      <c r="M50">
        <v>6668</v>
      </c>
      <c r="N50" t="s">
        <v>66</v>
      </c>
    </row>
    <row r="51" spans="1:14">
      <c r="A51" s="98">
        <v>46303</v>
      </c>
      <c r="B51" t="s">
        <v>678</v>
      </c>
      <c r="C51" t="s">
        <v>679</v>
      </c>
      <c r="D51">
        <v>712876987</v>
      </c>
      <c r="E51">
        <v>715369788</v>
      </c>
      <c r="F51">
        <v>7000</v>
      </c>
      <c r="G51" t="s">
        <v>412</v>
      </c>
      <c r="H51">
        <v>500</v>
      </c>
      <c r="I51">
        <v>3000</v>
      </c>
      <c r="J51">
        <v>10000</v>
      </c>
      <c r="K51">
        <v>1667</v>
      </c>
      <c r="L51">
        <v>8099</v>
      </c>
      <c r="M51">
        <v>1901</v>
      </c>
      <c r="N51" t="s">
        <v>657</v>
      </c>
    </row>
    <row r="52" spans="1:14">
      <c r="A52" s="98">
        <v>46334</v>
      </c>
      <c r="B52" t="s">
        <v>618</v>
      </c>
      <c r="C52" t="s">
        <v>189</v>
      </c>
      <c r="D52">
        <v>769409406</v>
      </c>
      <c r="E52">
        <v>700469416</v>
      </c>
      <c r="F52">
        <v>7000</v>
      </c>
      <c r="G52" t="s">
        <v>413</v>
      </c>
      <c r="H52">
        <v>500</v>
      </c>
      <c r="I52">
        <v>2000</v>
      </c>
      <c r="J52">
        <v>9000</v>
      </c>
      <c r="K52">
        <v>2250</v>
      </c>
      <c r="L52">
        <v>9000</v>
      </c>
      <c r="M52">
        <v>0</v>
      </c>
      <c r="N52" t="s">
        <v>66</v>
      </c>
    </row>
    <row r="53" spans="1:14">
      <c r="A53" s="98">
        <v>46334</v>
      </c>
      <c r="B53" t="s">
        <v>601</v>
      </c>
      <c r="C53" t="s">
        <v>602</v>
      </c>
      <c r="D53">
        <v>799173612</v>
      </c>
      <c r="E53">
        <v>708387501</v>
      </c>
      <c r="F53">
        <v>10000</v>
      </c>
      <c r="G53" t="s">
        <v>413</v>
      </c>
      <c r="H53">
        <v>500</v>
      </c>
      <c r="I53">
        <v>2000</v>
      </c>
      <c r="J53">
        <v>12000</v>
      </c>
      <c r="K53">
        <v>3000</v>
      </c>
      <c r="L53">
        <v>12000</v>
      </c>
      <c r="M53">
        <v>0</v>
      </c>
      <c r="N53" t="s">
        <v>66</v>
      </c>
    </row>
    <row r="54" spans="1:14">
      <c r="A54" s="98">
        <v>46334</v>
      </c>
      <c r="B54" t="s">
        <v>69</v>
      </c>
      <c r="C54" t="s">
        <v>568</v>
      </c>
      <c r="D54">
        <v>727877025</v>
      </c>
      <c r="E54">
        <v>726297808</v>
      </c>
      <c r="F54">
        <v>7000</v>
      </c>
      <c r="G54" t="s">
        <v>412</v>
      </c>
      <c r="H54">
        <v>500</v>
      </c>
      <c r="I54">
        <v>3000</v>
      </c>
      <c r="J54">
        <v>10000</v>
      </c>
      <c r="K54">
        <v>1667</v>
      </c>
      <c r="L54">
        <v>10000</v>
      </c>
      <c r="M54">
        <v>0</v>
      </c>
      <c r="N54" t="s">
        <v>43</v>
      </c>
    </row>
    <row r="55" spans="1:14">
      <c r="A55" s="98">
        <v>46334</v>
      </c>
      <c r="B55" t="s">
        <v>20</v>
      </c>
      <c r="C55" t="s">
        <v>510</v>
      </c>
      <c r="D55">
        <v>711686002</v>
      </c>
      <c r="E55">
        <v>757069418</v>
      </c>
      <c r="F55">
        <v>12000</v>
      </c>
      <c r="G55" t="s">
        <v>412</v>
      </c>
      <c r="H55">
        <v>500</v>
      </c>
      <c r="I55">
        <v>3600</v>
      </c>
      <c r="J55">
        <v>15600</v>
      </c>
      <c r="K55">
        <v>2600</v>
      </c>
      <c r="L55">
        <v>15600</v>
      </c>
      <c r="M55">
        <v>0</v>
      </c>
      <c r="N55" t="s">
        <v>657</v>
      </c>
    </row>
    <row r="56" spans="1:14">
      <c r="A56" s="98">
        <v>46334</v>
      </c>
      <c r="B56" t="s">
        <v>677</v>
      </c>
      <c r="C56" t="s">
        <v>117</v>
      </c>
      <c r="D56">
        <v>723495587</v>
      </c>
      <c r="E56">
        <v>729417206</v>
      </c>
      <c r="F56">
        <v>15000</v>
      </c>
      <c r="G56" t="s">
        <v>412</v>
      </c>
      <c r="H56">
        <v>500</v>
      </c>
      <c r="I56">
        <v>4500</v>
      </c>
      <c r="J56">
        <v>19500</v>
      </c>
      <c r="K56">
        <v>3250</v>
      </c>
      <c r="L56">
        <v>19500</v>
      </c>
      <c r="M56">
        <v>0</v>
      </c>
      <c r="N56" t="s">
        <v>43</v>
      </c>
    </row>
    <row r="57" spans="1:14">
      <c r="A57" s="98">
        <v>46334</v>
      </c>
      <c r="B57" t="s">
        <v>341</v>
      </c>
      <c r="C57" t="s">
        <v>832</v>
      </c>
      <c r="D57">
        <v>700480519</v>
      </c>
      <c r="E57">
        <v>715873084</v>
      </c>
      <c r="F57">
        <v>7000</v>
      </c>
      <c r="G57" t="s">
        <v>507</v>
      </c>
      <c r="H57">
        <v>500</v>
      </c>
      <c r="I57">
        <v>3000</v>
      </c>
      <c r="J57">
        <v>10000</v>
      </c>
      <c r="K57">
        <v>1667</v>
      </c>
      <c r="L57">
        <v>10000</v>
      </c>
      <c r="M57">
        <v>0</v>
      </c>
      <c r="N57" t="s">
        <v>657</v>
      </c>
    </row>
    <row r="58" spans="1:14">
      <c r="A58" s="98">
        <v>46334</v>
      </c>
      <c r="B58" t="s">
        <v>833</v>
      </c>
      <c r="C58" t="s">
        <v>834</v>
      </c>
      <c r="D58">
        <v>704244146</v>
      </c>
      <c r="E58">
        <v>725385232</v>
      </c>
      <c r="F58">
        <v>10000</v>
      </c>
      <c r="G58" t="s">
        <v>835</v>
      </c>
      <c r="H58">
        <v>500</v>
      </c>
      <c r="I58">
        <v>3000</v>
      </c>
      <c r="J58">
        <v>13000</v>
      </c>
      <c r="K58">
        <v>2167</v>
      </c>
      <c r="L58">
        <v>13000</v>
      </c>
      <c r="M58">
        <v>0</v>
      </c>
      <c r="N58" t="s">
        <v>814</v>
      </c>
    </row>
    <row r="59" spans="1:14">
      <c r="A59" s="98">
        <v>46334</v>
      </c>
      <c r="B59" t="s">
        <v>836</v>
      </c>
      <c r="C59" t="s">
        <v>837</v>
      </c>
      <c r="D59">
        <v>797064363</v>
      </c>
      <c r="E59">
        <v>717892112</v>
      </c>
      <c r="F59">
        <v>5000</v>
      </c>
      <c r="G59" t="s">
        <v>413</v>
      </c>
      <c r="H59">
        <v>500</v>
      </c>
      <c r="I59">
        <v>1000</v>
      </c>
      <c r="J59">
        <v>6000</v>
      </c>
      <c r="K59">
        <v>1500</v>
      </c>
      <c r="L59">
        <v>6000</v>
      </c>
      <c r="M59">
        <v>0</v>
      </c>
      <c r="N59" t="s">
        <v>814</v>
      </c>
    </row>
    <row r="60" spans="1:14">
      <c r="A60" s="98">
        <v>46334</v>
      </c>
      <c r="B60" t="s">
        <v>335</v>
      </c>
      <c r="C60" t="s">
        <v>838</v>
      </c>
      <c r="D60">
        <v>703915750</v>
      </c>
      <c r="E60">
        <v>720024027</v>
      </c>
      <c r="F60">
        <v>7000</v>
      </c>
      <c r="G60" t="s">
        <v>507</v>
      </c>
      <c r="H60">
        <v>500</v>
      </c>
      <c r="I60">
        <v>3000</v>
      </c>
      <c r="J60">
        <v>10000</v>
      </c>
      <c r="K60">
        <v>1667</v>
      </c>
      <c r="L60">
        <v>10000</v>
      </c>
      <c r="M60">
        <v>0</v>
      </c>
      <c r="N60" t="s">
        <v>66</v>
      </c>
    </row>
    <row r="61" spans="1:14">
      <c r="A61" s="98">
        <v>46364</v>
      </c>
      <c r="B61" t="s">
        <v>731</v>
      </c>
      <c r="C61" t="s">
        <v>732</v>
      </c>
      <c r="D61">
        <v>759900772</v>
      </c>
      <c r="E61">
        <v>710625385</v>
      </c>
      <c r="F61">
        <v>7000</v>
      </c>
      <c r="G61" t="s">
        <v>413</v>
      </c>
      <c r="H61">
        <v>500</v>
      </c>
      <c r="I61">
        <v>2000</v>
      </c>
      <c r="J61">
        <v>9000</v>
      </c>
      <c r="K61">
        <v>2250</v>
      </c>
      <c r="L61">
        <v>9000</v>
      </c>
      <c r="M61">
        <v>0</v>
      </c>
      <c r="N61" t="s">
        <v>66</v>
      </c>
    </row>
    <row r="62" spans="1:14">
      <c r="A62" s="98">
        <v>46364</v>
      </c>
      <c r="B62" t="s">
        <v>18</v>
      </c>
      <c r="C62" t="s">
        <v>118</v>
      </c>
      <c r="D62">
        <v>791542906</v>
      </c>
      <c r="E62">
        <v>710467216</v>
      </c>
      <c r="F62">
        <v>10000</v>
      </c>
      <c r="G62" t="s">
        <v>839</v>
      </c>
      <c r="H62">
        <v>500</v>
      </c>
      <c r="I62">
        <v>3000</v>
      </c>
      <c r="J62">
        <v>13000</v>
      </c>
      <c r="K62">
        <v>2167</v>
      </c>
      <c r="L62">
        <v>13000</v>
      </c>
      <c r="M62">
        <v>0</v>
      </c>
      <c r="N62" t="s">
        <v>43</v>
      </c>
    </row>
    <row r="63" spans="1:14">
      <c r="A63" s="98">
        <v>46364</v>
      </c>
      <c r="B63" t="s">
        <v>247</v>
      </c>
      <c r="C63" t="s">
        <v>676</v>
      </c>
      <c r="D63">
        <v>704424647</v>
      </c>
      <c r="E63">
        <v>711767396</v>
      </c>
      <c r="F63">
        <v>10000</v>
      </c>
      <c r="G63" t="s">
        <v>412</v>
      </c>
      <c r="H63">
        <v>500</v>
      </c>
      <c r="I63">
        <v>3000</v>
      </c>
      <c r="J63">
        <v>13000</v>
      </c>
      <c r="K63">
        <v>2167</v>
      </c>
      <c r="L63">
        <v>13000</v>
      </c>
      <c r="M63">
        <v>0</v>
      </c>
      <c r="N63" t="s">
        <v>43</v>
      </c>
    </row>
    <row r="64" spans="1:14">
      <c r="A64" s="98">
        <v>46364</v>
      </c>
      <c r="B64" t="s">
        <v>840</v>
      </c>
      <c r="C64" t="s">
        <v>841</v>
      </c>
      <c r="D64">
        <v>720340478</v>
      </c>
      <c r="E64">
        <v>720132021</v>
      </c>
      <c r="F64">
        <v>5000</v>
      </c>
      <c r="G64" t="s">
        <v>413</v>
      </c>
      <c r="H64">
        <v>500</v>
      </c>
      <c r="I64">
        <v>1000</v>
      </c>
      <c r="J64">
        <v>6000</v>
      </c>
      <c r="K64">
        <v>1500</v>
      </c>
      <c r="L64">
        <v>6000</v>
      </c>
      <c r="M64">
        <v>0</v>
      </c>
      <c r="N64" t="s">
        <v>43</v>
      </c>
    </row>
    <row r="65" spans="1:14">
      <c r="A65" s="98">
        <v>46364</v>
      </c>
      <c r="B65" t="s">
        <v>688</v>
      </c>
      <c r="C65" t="s">
        <v>689</v>
      </c>
      <c r="D65">
        <v>721318231</v>
      </c>
      <c r="E65">
        <v>705850703</v>
      </c>
      <c r="F65">
        <v>10000</v>
      </c>
      <c r="G65" t="s">
        <v>412</v>
      </c>
      <c r="H65">
        <v>500</v>
      </c>
      <c r="I65">
        <v>3000</v>
      </c>
      <c r="J65">
        <v>13000</v>
      </c>
      <c r="K65">
        <v>2167</v>
      </c>
      <c r="L65">
        <v>13000</v>
      </c>
      <c r="M65">
        <v>0</v>
      </c>
      <c r="N65" t="s">
        <v>43</v>
      </c>
    </row>
    <row r="66" spans="1:14">
      <c r="A66" s="98">
        <v>46364</v>
      </c>
      <c r="B66" t="s">
        <v>321</v>
      </c>
      <c r="C66" t="s">
        <v>667</v>
      </c>
      <c r="D66">
        <v>746405759</v>
      </c>
      <c r="E66">
        <v>718102970</v>
      </c>
      <c r="F66">
        <v>8000</v>
      </c>
      <c r="G66" t="s">
        <v>412</v>
      </c>
      <c r="H66">
        <v>500</v>
      </c>
      <c r="I66">
        <v>3000</v>
      </c>
      <c r="J66">
        <v>11000</v>
      </c>
      <c r="K66">
        <v>1834</v>
      </c>
      <c r="L66">
        <v>11000</v>
      </c>
      <c r="M66">
        <v>0</v>
      </c>
      <c r="N66" t="s">
        <v>657</v>
      </c>
    </row>
    <row r="67" spans="1:14">
      <c r="A67" s="98">
        <v>46364</v>
      </c>
      <c r="B67" t="s">
        <v>842</v>
      </c>
      <c r="C67" t="s">
        <v>502</v>
      </c>
      <c r="D67">
        <v>725818764</v>
      </c>
      <c r="E67">
        <v>720847355</v>
      </c>
      <c r="F67">
        <v>8000</v>
      </c>
      <c r="G67" t="s">
        <v>413</v>
      </c>
      <c r="H67">
        <v>500</v>
      </c>
      <c r="I67">
        <v>2000</v>
      </c>
      <c r="J67">
        <v>10000</v>
      </c>
      <c r="K67">
        <v>2500</v>
      </c>
      <c r="L67">
        <v>10000</v>
      </c>
      <c r="M67">
        <v>0</v>
      </c>
      <c r="N67" t="s">
        <v>814</v>
      </c>
    </row>
    <row r="68" spans="1:14">
      <c r="A68" s="98">
        <v>46364</v>
      </c>
      <c r="B68" t="s">
        <v>843</v>
      </c>
      <c r="C68" t="s">
        <v>844</v>
      </c>
      <c r="D68">
        <v>716339627</v>
      </c>
      <c r="E68">
        <v>740182164</v>
      </c>
      <c r="F68">
        <v>10000</v>
      </c>
      <c r="G68" t="s">
        <v>532</v>
      </c>
      <c r="H68">
        <v>500</v>
      </c>
      <c r="I68">
        <v>2000</v>
      </c>
      <c r="J68">
        <v>12000</v>
      </c>
      <c r="K68">
        <v>3000</v>
      </c>
      <c r="L68">
        <v>12000</v>
      </c>
      <c r="M68">
        <v>0</v>
      </c>
      <c r="N68" t="s">
        <v>814</v>
      </c>
    </row>
    <row r="69" spans="1:14">
      <c r="A69" s="98">
        <v>46364</v>
      </c>
      <c r="B69" t="s">
        <v>845</v>
      </c>
      <c r="C69" t="s">
        <v>846</v>
      </c>
      <c r="D69">
        <v>741590773</v>
      </c>
      <c r="E69">
        <v>791282933</v>
      </c>
      <c r="F69">
        <v>5000</v>
      </c>
      <c r="G69" t="s">
        <v>413</v>
      </c>
      <c r="H69">
        <v>500</v>
      </c>
      <c r="I69">
        <v>1000</v>
      </c>
      <c r="J69">
        <v>6000</v>
      </c>
      <c r="K69">
        <v>1500</v>
      </c>
      <c r="L69">
        <v>6000</v>
      </c>
      <c r="M69">
        <v>0</v>
      </c>
      <c r="N69" t="s">
        <v>43</v>
      </c>
    </row>
    <row r="70" spans="1:14">
      <c r="A70" s="98">
        <v>46364</v>
      </c>
      <c r="B70" t="s">
        <v>847</v>
      </c>
      <c r="C70" t="s">
        <v>638</v>
      </c>
      <c r="D70">
        <v>721676635</v>
      </c>
      <c r="E70">
        <v>714276647</v>
      </c>
      <c r="F70">
        <v>5000</v>
      </c>
      <c r="G70" t="s">
        <v>413</v>
      </c>
      <c r="H70">
        <v>500</v>
      </c>
      <c r="I70">
        <v>1000</v>
      </c>
      <c r="J70">
        <v>6000</v>
      </c>
      <c r="K70">
        <v>1500</v>
      </c>
      <c r="L70">
        <v>3500</v>
      </c>
      <c r="M70">
        <v>2500</v>
      </c>
      <c r="N70" t="s">
        <v>66</v>
      </c>
    </row>
    <row r="71" spans="1:14">
      <c r="A71" s="98" t="s">
        <v>848</v>
      </c>
      <c r="B71" t="s">
        <v>705</v>
      </c>
      <c r="C71" t="s">
        <v>542</v>
      </c>
      <c r="D71">
        <v>746811444</v>
      </c>
      <c r="E71">
        <v>115403692</v>
      </c>
      <c r="F71">
        <v>8000</v>
      </c>
      <c r="G71" t="s">
        <v>412</v>
      </c>
      <c r="H71">
        <v>500</v>
      </c>
      <c r="I71">
        <v>3000</v>
      </c>
      <c r="J71">
        <v>11000</v>
      </c>
      <c r="K71">
        <v>1834</v>
      </c>
      <c r="L71">
        <v>11000</v>
      </c>
      <c r="M71">
        <v>0</v>
      </c>
      <c r="N71" t="s">
        <v>43</v>
      </c>
    </row>
    <row r="72" spans="1:14">
      <c r="A72" t="s">
        <v>848</v>
      </c>
      <c r="B72" t="s">
        <v>751</v>
      </c>
      <c r="C72" t="s">
        <v>752</v>
      </c>
      <c r="D72">
        <v>725559308</v>
      </c>
      <c r="E72">
        <v>705102133</v>
      </c>
      <c r="F72">
        <v>5000</v>
      </c>
      <c r="G72" t="s">
        <v>413</v>
      </c>
      <c r="H72">
        <v>500</v>
      </c>
      <c r="I72">
        <v>1000</v>
      </c>
      <c r="J72">
        <v>6000</v>
      </c>
      <c r="K72">
        <v>1500</v>
      </c>
      <c r="L72">
        <v>6000</v>
      </c>
      <c r="M72">
        <v>0</v>
      </c>
      <c r="N72" t="s">
        <v>66</v>
      </c>
    </row>
    <row r="73" spans="1:14">
      <c r="A73" s="98" t="s">
        <v>848</v>
      </c>
      <c r="B73" t="s">
        <v>181</v>
      </c>
      <c r="C73" t="s">
        <v>182</v>
      </c>
      <c r="D73">
        <v>729518016</v>
      </c>
      <c r="E73">
        <v>711063122</v>
      </c>
      <c r="F73">
        <v>7000</v>
      </c>
      <c r="G73" t="s">
        <v>412</v>
      </c>
      <c r="H73">
        <v>500</v>
      </c>
      <c r="I73">
        <v>3000</v>
      </c>
      <c r="J73">
        <v>10000</v>
      </c>
      <c r="K73">
        <v>1667</v>
      </c>
      <c r="L73">
        <v>10000</v>
      </c>
      <c r="M73">
        <v>0</v>
      </c>
      <c r="N73" t="s">
        <v>66</v>
      </c>
    </row>
    <row r="74" spans="1:14">
      <c r="A74" s="98" t="s">
        <v>848</v>
      </c>
      <c r="B74" t="s">
        <v>849</v>
      </c>
      <c r="C74" t="s">
        <v>134</v>
      </c>
      <c r="D74">
        <v>700549110</v>
      </c>
      <c r="E74">
        <v>794802011</v>
      </c>
      <c r="F74">
        <v>10000</v>
      </c>
      <c r="G74" t="s">
        <v>412</v>
      </c>
      <c r="H74">
        <v>500</v>
      </c>
      <c r="I74">
        <v>3000</v>
      </c>
      <c r="J74">
        <v>13000</v>
      </c>
      <c r="K74">
        <v>2167</v>
      </c>
      <c r="L74">
        <v>13000</v>
      </c>
      <c r="M74">
        <v>0</v>
      </c>
      <c r="N74" t="s">
        <v>657</v>
      </c>
    </row>
    <row r="75" spans="1:14">
      <c r="A75" s="98" t="s">
        <v>848</v>
      </c>
      <c r="B75" t="s">
        <v>850</v>
      </c>
      <c r="C75" t="s">
        <v>851</v>
      </c>
      <c r="D75">
        <v>702682179</v>
      </c>
      <c r="E75">
        <v>703000423</v>
      </c>
      <c r="F75">
        <v>10000</v>
      </c>
      <c r="G75" t="s">
        <v>413</v>
      </c>
      <c r="H75">
        <v>500</v>
      </c>
      <c r="I75">
        <v>2000</v>
      </c>
      <c r="J75">
        <v>12000</v>
      </c>
      <c r="K75">
        <v>3000</v>
      </c>
      <c r="L75">
        <v>12000</v>
      </c>
      <c r="M75">
        <v>0</v>
      </c>
      <c r="N75" t="s">
        <v>814</v>
      </c>
    </row>
    <row r="76" spans="1:14">
      <c r="A76" s="98" t="s">
        <v>848</v>
      </c>
      <c r="B76" t="s">
        <v>852</v>
      </c>
      <c r="C76" t="s">
        <v>853</v>
      </c>
      <c r="D76">
        <v>710733293</v>
      </c>
      <c r="E76">
        <v>742259071</v>
      </c>
      <c r="F76">
        <v>7000</v>
      </c>
      <c r="G76" t="s">
        <v>412</v>
      </c>
      <c r="H76">
        <v>500</v>
      </c>
      <c r="I76">
        <v>3000</v>
      </c>
      <c r="J76">
        <v>10000</v>
      </c>
      <c r="K76">
        <v>1667</v>
      </c>
      <c r="L76">
        <v>10000</v>
      </c>
      <c r="M76">
        <v>0</v>
      </c>
      <c r="N76" t="s">
        <v>43</v>
      </c>
    </row>
    <row r="77" spans="1:14">
      <c r="A77" s="98" t="s">
        <v>848</v>
      </c>
      <c r="B77" t="s">
        <v>862</v>
      </c>
      <c r="C77" t="s">
        <v>854</v>
      </c>
      <c r="D77">
        <v>114744475</v>
      </c>
      <c r="E77">
        <v>709360142</v>
      </c>
      <c r="F77">
        <v>7000</v>
      </c>
      <c r="G77" t="s">
        <v>412</v>
      </c>
      <c r="H77">
        <v>500</v>
      </c>
      <c r="I77">
        <v>3000</v>
      </c>
      <c r="J77">
        <v>10000</v>
      </c>
      <c r="K77">
        <v>1667</v>
      </c>
      <c r="L77">
        <v>3334</v>
      </c>
      <c r="M77">
        <v>6666</v>
      </c>
      <c r="N77" t="s">
        <v>657</v>
      </c>
    </row>
    <row r="78" spans="1:14">
      <c r="A78" s="98" t="s">
        <v>848</v>
      </c>
      <c r="B78" t="s">
        <v>858</v>
      </c>
      <c r="C78" t="s">
        <v>325</v>
      </c>
      <c r="D78">
        <v>729238210</v>
      </c>
      <c r="E78">
        <v>701676104</v>
      </c>
      <c r="F78">
        <v>8000</v>
      </c>
      <c r="G78" t="s">
        <v>412</v>
      </c>
      <c r="H78">
        <v>500</v>
      </c>
      <c r="I78">
        <v>3000</v>
      </c>
      <c r="J78">
        <v>11000</v>
      </c>
      <c r="K78">
        <v>1834</v>
      </c>
      <c r="L78">
        <v>11000</v>
      </c>
      <c r="M78">
        <v>0</v>
      </c>
      <c r="N78" t="s">
        <v>43</v>
      </c>
    </row>
    <row r="79" spans="1:14">
      <c r="A79" s="98" t="s">
        <v>855</v>
      </c>
      <c r="B79" t="s">
        <v>856</v>
      </c>
      <c r="C79" t="s">
        <v>857</v>
      </c>
      <c r="D79">
        <v>742751846</v>
      </c>
      <c r="E79">
        <v>7487234678</v>
      </c>
      <c r="F79">
        <v>5000</v>
      </c>
      <c r="G79" t="s">
        <v>413</v>
      </c>
      <c r="H79">
        <v>500</v>
      </c>
      <c r="I79">
        <v>1000</v>
      </c>
      <c r="J79">
        <v>6000</v>
      </c>
      <c r="K79">
        <v>1500</v>
      </c>
      <c r="L79">
        <v>6000</v>
      </c>
      <c r="M79">
        <v>0</v>
      </c>
      <c r="N79" t="s">
        <v>66</v>
      </c>
    </row>
    <row r="80" spans="1:14">
      <c r="A80" s="98" t="s">
        <v>859</v>
      </c>
      <c r="B80" t="s">
        <v>215</v>
      </c>
      <c r="C80" t="s">
        <v>216</v>
      </c>
      <c r="D80">
        <v>796250750</v>
      </c>
      <c r="E80">
        <v>741199155</v>
      </c>
      <c r="F80">
        <v>12000</v>
      </c>
      <c r="G80" t="s">
        <v>532</v>
      </c>
      <c r="H80">
        <v>500</v>
      </c>
      <c r="I80">
        <v>2400</v>
      </c>
      <c r="J80">
        <v>14400</v>
      </c>
      <c r="K80">
        <v>3600</v>
      </c>
      <c r="L80">
        <v>14400</v>
      </c>
      <c r="M80">
        <v>0</v>
      </c>
      <c r="N80" t="s">
        <v>43</v>
      </c>
    </row>
    <row r="81" spans="1:14">
      <c r="A81" t="s">
        <v>859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413</v>
      </c>
      <c r="H81">
        <v>500</v>
      </c>
      <c r="I81">
        <v>2000</v>
      </c>
      <c r="J81">
        <v>10000</v>
      </c>
      <c r="K81">
        <v>2500</v>
      </c>
      <c r="L81">
        <v>10000</v>
      </c>
      <c r="M81">
        <v>0</v>
      </c>
      <c r="N81" t="s">
        <v>657</v>
      </c>
    </row>
    <row r="82" spans="1:14">
      <c r="A82" t="s">
        <v>859</v>
      </c>
      <c r="B82" t="s">
        <v>763</v>
      </c>
      <c r="C82" t="s">
        <v>764</v>
      </c>
      <c r="D82">
        <v>717622386</v>
      </c>
      <c r="E82">
        <v>1088117449</v>
      </c>
      <c r="F82">
        <v>12000</v>
      </c>
      <c r="G82" t="s">
        <v>413</v>
      </c>
      <c r="H82">
        <v>500</v>
      </c>
      <c r="I82">
        <v>2400</v>
      </c>
      <c r="J82">
        <v>14400</v>
      </c>
      <c r="K82">
        <v>3600</v>
      </c>
      <c r="L82">
        <v>14400</v>
      </c>
      <c r="M82">
        <v>0</v>
      </c>
      <c r="N82" t="s">
        <v>66</v>
      </c>
    </row>
    <row r="83" spans="1:14">
      <c r="A83" s="98" t="s">
        <v>860</v>
      </c>
      <c r="B83" t="s">
        <v>861</v>
      </c>
      <c r="C83" t="s">
        <v>277</v>
      </c>
      <c r="D83">
        <v>745464053</v>
      </c>
      <c r="E83">
        <v>792049791</v>
      </c>
      <c r="F83">
        <v>5000</v>
      </c>
      <c r="G83" t="s">
        <v>413</v>
      </c>
      <c r="H83">
        <v>500</v>
      </c>
      <c r="I83">
        <v>1000</v>
      </c>
      <c r="J83">
        <v>6000</v>
      </c>
      <c r="K83">
        <v>1500</v>
      </c>
      <c r="L83">
        <v>6000</v>
      </c>
      <c r="M83">
        <v>0</v>
      </c>
      <c r="N83" t="s">
        <v>43</v>
      </c>
    </row>
    <row r="84" spans="1:14">
      <c r="A84" t="s">
        <v>860</v>
      </c>
      <c r="B84" t="s">
        <v>68</v>
      </c>
      <c r="C84" t="s">
        <v>249</v>
      </c>
      <c r="D84">
        <v>799835033</v>
      </c>
      <c r="E84">
        <v>726683825</v>
      </c>
      <c r="F84">
        <v>10000</v>
      </c>
      <c r="G84" t="s">
        <v>412</v>
      </c>
      <c r="H84">
        <v>500</v>
      </c>
      <c r="I84">
        <v>3000</v>
      </c>
      <c r="J84">
        <v>13000</v>
      </c>
      <c r="K84">
        <v>2167</v>
      </c>
      <c r="L84">
        <v>13000</v>
      </c>
      <c r="M84">
        <v>0</v>
      </c>
      <c r="N84" t="s">
        <v>43</v>
      </c>
    </row>
    <row r="85" spans="1:14">
      <c r="A85" t="s">
        <v>860</v>
      </c>
      <c r="B85" t="s">
        <v>97</v>
      </c>
      <c r="C85" t="s">
        <v>721</v>
      </c>
      <c r="D85">
        <v>714359854</v>
      </c>
      <c r="E85">
        <v>715778506</v>
      </c>
      <c r="F85">
        <v>30000</v>
      </c>
      <c r="G85" t="s">
        <v>412</v>
      </c>
      <c r="H85">
        <v>500</v>
      </c>
      <c r="I85">
        <v>10500</v>
      </c>
      <c r="J85">
        <v>40500</v>
      </c>
      <c r="K85">
        <v>6750</v>
      </c>
      <c r="L85">
        <v>40500</v>
      </c>
      <c r="M85">
        <v>0</v>
      </c>
      <c r="N85" t="s">
        <v>43</v>
      </c>
    </row>
    <row r="86" spans="1:14">
      <c r="A86" s="98" t="s">
        <v>860</v>
      </c>
      <c r="B86" t="s">
        <v>699</v>
      </c>
      <c r="C86" t="s">
        <v>700</v>
      </c>
      <c r="D86">
        <v>725709459</v>
      </c>
      <c r="E86">
        <v>722416830</v>
      </c>
      <c r="F86">
        <v>7000</v>
      </c>
      <c r="G86" t="s">
        <v>412</v>
      </c>
      <c r="H86">
        <v>500</v>
      </c>
      <c r="I86">
        <v>3000</v>
      </c>
      <c r="J86">
        <v>10000</v>
      </c>
      <c r="K86">
        <v>1667</v>
      </c>
      <c r="L86">
        <v>10000</v>
      </c>
      <c r="M86">
        <v>0</v>
      </c>
      <c r="N86" t="s">
        <v>43</v>
      </c>
    </row>
    <row r="87" spans="1:14">
      <c r="A87" t="s">
        <v>860</v>
      </c>
      <c r="B87" t="s">
        <v>88</v>
      </c>
      <c r="C87" t="s">
        <v>762</v>
      </c>
      <c r="D87">
        <v>715706681</v>
      </c>
      <c r="E87">
        <v>722948117</v>
      </c>
      <c r="F87">
        <v>20000</v>
      </c>
      <c r="G87" t="s">
        <v>413</v>
      </c>
      <c r="H87">
        <v>500</v>
      </c>
      <c r="I87">
        <v>4000</v>
      </c>
      <c r="J87">
        <v>24000</v>
      </c>
      <c r="K87">
        <v>6000</v>
      </c>
      <c r="L87">
        <v>24000</v>
      </c>
      <c r="M87">
        <v>0</v>
      </c>
      <c r="N87" t="s">
        <v>657</v>
      </c>
    </row>
    <row r="88" spans="1:14">
      <c r="A88" s="98" t="s">
        <v>860</v>
      </c>
      <c r="B88" t="s">
        <v>498</v>
      </c>
      <c r="C88" t="s">
        <v>499</v>
      </c>
      <c r="D88">
        <v>768824476</v>
      </c>
      <c r="E88">
        <v>768094794</v>
      </c>
      <c r="F88">
        <v>8000</v>
      </c>
      <c r="G88" t="s">
        <v>412</v>
      </c>
      <c r="H88">
        <v>500</v>
      </c>
      <c r="I88">
        <v>3000</v>
      </c>
      <c r="J88">
        <v>11000</v>
      </c>
      <c r="K88">
        <v>1834</v>
      </c>
      <c r="L88">
        <v>11000</v>
      </c>
      <c r="M88">
        <v>0</v>
      </c>
      <c r="N88" t="s">
        <v>43</v>
      </c>
    </row>
    <row r="89" spans="1:14">
      <c r="A89" t="s">
        <v>860</v>
      </c>
      <c r="B89" t="s">
        <v>259</v>
      </c>
      <c r="C89" t="s">
        <v>71</v>
      </c>
      <c r="D89">
        <v>726683825</v>
      </c>
      <c r="E89">
        <v>746194202</v>
      </c>
      <c r="F89">
        <v>10000</v>
      </c>
      <c r="G89" t="s">
        <v>412</v>
      </c>
      <c r="H89">
        <v>500</v>
      </c>
      <c r="I89">
        <v>3000</v>
      </c>
      <c r="J89">
        <v>13000</v>
      </c>
      <c r="K89">
        <v>2167</v>
      </c>
      <c r="L89">
        <v>13000</v>
      </c>
      <c r="M89">
        <v>0</v>
      </c>
      <c r="N89" t="s">
        <v>43</v>
      </c>
    </row>
    <row r="90" spans="1:14">
      <c r="A90" t="s">
        <v>863</v>
      </c>
      <c r="B90" t="s">
        <v>606</v>
      </c>
      <c r="C90" t="s">
        <v>607</v>
      </c>
      <c r="D90">
        <v>724592850</v>
      </c>
      <c r="E90">
        <v>7726768129</v>
      </c>
      <c r="F90">
        <v>7000</v>
      </c>
      <c r="G90" t="s">
        <v>412</v>
      </c>
      <c r="H90">
        <v>500</v>
      </c>
      <c r="I90">
        <v>3000</v>
      </c>
      <c r="J90">
        <v>10000</v>
      </c>
      <c r="K90">
        <v>1667</v>
      </c>
      <c r="L90">
        <v>10000</v>
      </c>
      <c r="M90">
        <v>0</v>
      </c>
      <c r="N90" t="s">
        <v>66</v>
      </c>
    </row>
    <row r="91" spans="1:14">
      <c r="A91" t="s">
        <v>864</v>
      </c>
      <c r="B91" t="s">
        <v>579</v>
      </c>
      <c r="C91" t="s">
        <v>755</v>
      </c>
      <c r="D91">
        <v>722655548</v>
      </c>
      <c r="E91">
        <v>701481316</v>
      </c>
      <c r="F91">
        <v>8000</v>
      </c>
      <c r="G91" t="s">
        <v>412</v>
      </c>
      <c r="H91">
        <v>500</v>
      </c>
      <c r="I91">
        <v>3000</v>
      </c>
      <c r="J91">
        <v>11000</v>
      </c>
      <c r="K91">
        <v>1834</v>
      </c>
      <c r="L91">
        <v>11000</v>
      </c>
      <c r="M91">
        <v>0</v>
      </c>
      <c r="N91" t="s">
        <v>43</v>
      </c>
    </row>
    <row r="92" spans="1:14">
      <c r="A92" t="s">
        <v>864</v>
      </c>
      <c r="B92" t="s">
        <v>754</v>
      </c>
      <c r="C92" t="s">
        <v>29</v>
      </c>
      <c r="D92">
        <v>723849109</v>
      </c>
      <c r="E92">
        <v>711237285</v>
      </c>
      <c r="F92">
        <v>10000</v>
      </c>
      <c r="G92" t="s">
        <v>412</v>
      </c>
      <c r="H92">
        <v>500</v>
      </c>
      <c r="I92">
        <v>3000</v>
      </c>
      <c r="J92">
        <v>13000</v>
      </c>
      <c r="K92">
        <v>2167</v>
      </c>
      <c r="L92">
        <v>13000</v>
      </c>
      <c r="M92">
        <v>0</v>
      </c>
      <c r="N92" t="s">
        <v>43</v>
      </c>
    </row>
    <row r="93" spans="1:14">
      <c r="A93" s="98" t="s">
        <v>864</v>
      </c>
      <c r="B93" t="s">
        <v>827</v>
      </c>
      <c r="C93" t="s">
        <v>600</v>
      </c>
      <c r="D93">
        <v>715577248</v>
      </c>
      <c r="E93">
        <v>741463602</v>
      </c>
      <c r="F93">
        <v>5000</v>
      </c>
      <c r="G93" t="s">
        <v>413</v>
      </c>
      <c r="H93">
        <v>500</v>
      </c>
      <c r="I93">
        <v>1000</v>
      </c>
      <c r="J93">
        <v>6000</v>
      </c>
      <c r="K93">
        <v>1500</v>
      </c>
      <c r="L93">
        <v>6000</v>
      </c>
      <c r="M93">
        <v>0</v>
      </c>
      <c r="N93" t="s">
        <v>43</v>
      </c>
    </row>
    <row r="94" spans="1:14">
      <c r="A94" t="s">
        <v>864</v>
      </c>
      <c r="B94" t="s">
        <v>241</v>
      </c>
      <c r="C94" t="s">
        <v>158</v>
      </c>
      <c r="D94">
        <v>706439225</v>
      </c>
      <c r="E94">
        <v>10660229</v>
      </c>
      <c r="F94">
        <v>10000</v>
      </c>
      <c r="G94" t="s">
        <v>413</v>
      </c>
      <c r="H94">
        <v>500</v>
      </c>
      <c r="I94">
        <v>2000</v>
      </c>
      <c r="J94">
        <v>12000</v>
      </c>
      <c r="K94">
        <v>3000</v>
      </c>
      <c r="L94">
        <v>12000</v>
      </c>
      <c r="M94">
        <v>0</v>
      </c>
      <c r="N94" t="s">
        <v>43</v>
      </c>
    </row>
    <row r="95" spans="1:14">
      <c r="A95" t="s">
        <v>864</v>
      </c>
      <c r="B95" t="s">
        <v>30</v>
      </c>
      <c r="C95" t="s">
        <v>588</v>
      </c>
      <c r="D95">
        <v>799871943</v>
      </c>
      <c r="E95">
        <v>742728359</v>
      </c>
      <c r="F95">
        <v>10000</v>
      </c>
      <c r="G95" t="s">
        <v>412</v>
      </c>
      <c r="H95">
        <v>500</v>
      </c>
      <c r="I95">
        <v>3000</v>
      </c>
      <c r="J95">
        <v>13000</v>
      </c>
      <c r="K95">
        <v>2167</v>
      </c>
      <c r="L95">
        <v>13000</v>
      </c>
      <c r="M95">
        <v>0</v>
      </c>
      <c r="N95" t="s">
        <v>43</v>
      </c>
    </row>
    <row r="96" spans="1:14">
      <c r="A96" s="98" t="s">
        <v>864</v>
      </c>
      <c r="B96" t="s">
        <v>274</v>
      </c>
      <c r="C96" t="s">
        <v>656</v>
      </c>
      <c r="D96">
        <v>720630896</v>
      </c>
      <c r="E96">
        <v>113244500</v>
      </c>
      <c r="F96">
        <v>8000</v>
      </c>
      <c r="G96" t="s">
        <v>412</v>
      </c>
      <c r="H96">
        <v>500</v>
      </c>
      <c r="I96">
        <v>3000</v>
      </c>
      <c r="J96">
        <v>11000</v>
      </c>
      <c r="K96">
        <v>1834</v>
      </c>
      <c r="L96">
        <v>11000</v>
      </c>
      <c r="M96">
        <v>0</v>
      </c>
      <c r="N96" t="s">
        <v>43</v>
      </c>
    </row>
    <row r="97" spans="1:14">
      <c r="A97" t="s">
        <v>864</v>
      </c>
      <c r="B97" t="s">
        <v>865</v>
      </c>
      <c r="C97" t="s">
        <v>684</v>
      </c>
      <c r="D97">
        <v>791797838</v>
      </c>
      <c r="E97">
        <v>798786221</v>
      </c>
      <c r="F97">
        <v>5000</v>
      </c>
      <c r="G97" t="s">
        <v>413</v>
      </c>
      <c r="H97">
        <v>500</v>
      </c>
      <c r="I97">
        <v>1000</v>
      </c>
      <c r="J97">
        <v>6000</v>
      </c>
      <c r="K97">
        <v>1500</v>
      </c>
      <c r="L97">
        <v>6000</v>
      </c>
      <c r="M97">
        <v>0</v>
      </c>
      <c r="N97" t="s">
        <v>66</v>
      </c>
    </row>
    <row r="98" spans="1:14">
      <c r="A98" t="s">
        <v>864</v>
      </c>
      <c r="B98" t="s">
        <v>742</v>
      </c>
      <c r="C98" t="s">
        <v>743</v>
      </c>
      <c r="D98">
        <v>748586361</v>
      </c>
      <c r="E98">
        <v>710644873</v>
      </c>
      <c r="F98">
        <v>5000</v>
      </c>
      <c r="G98" t="s">
        <v>413</v>
      </c>
      <c r="H98">
        <v>500</v>
      </c>
      <c r="I98">
        <v>1000</v>
      </c>
      <c r="J98">
        <v>6000</v>
      </c>
      <c r="K98">
        <v>1500</v>
      </c>
      <c r="L98">
        <v>6000</v>
      </c>
      <c r="M98">
        <v>0</v>
      </c>
      <c r="N98" t="s">
        <v>43</v>
      </c>
    </row>
    <row r="99" spans="1:14">
      <c r="A99" t="s">
        <v>866</v>
      </c>
      <c r="B99" t="s">
        <v>744</v>
      </c>
      <c r="C99" t="s">
        <v>745</v>
      </c>
      <c r="D99">
        <v>725380367</v>
      </c>
      <c r="E99">
        <v>728534959</v>
      </c>
      <c r="F99">
        <v>10000</v>
      </c>
      <c r="G99" t="s">
        <v>412</v>
      </c>
      <c r="H99">
        <v>500</v>
      </c>
      <c r="I99">
        <v>3000</v>
      </c>
      <c r="J99">
        <v>13000</v>
      </c>
      <c r="K99">
        <v>2167</v>
      </c>
      <c r="L99">
        <v>13000</v>
      </c>
      <c r="M99">
        <v>0</v>
      </c>
      <c r="N99" t="s">
        <v>657</v>
      </c>
    </row>
    <row r="100" spans="1:14">
      <c r="A100" t="s">
        <v>866</v>
      </c>
      <c r="B100" t="s">
        <v>789</v>
      </c>
      <c r="C100" t="s">
        <v>186</v>
      </c>
      <c r="D100">
        <v>723858169</v>
      </c>
      <c r="E100">
        <v>703286633</v>
      </c>
      <c r="F100">
        <v>5000</v>
      </c>
      <c r="G100" t="s">
        <v>413</v>
      </c>
      <c r="H100">
        <v>500</v>
      </c>
      <c r="I100">
        <v>1000</v>
      </c>
      <c r="J100">
        <v>6000</v>
      </c>
      <c r="K100">
        <v>1500</v>
      </c>
      <c r="L100">
        <v>3000</v>
      </c>
      <c r="M100">
        <v>3000</v>
      </c>
      <c r="N100" t="s">
        <v>43</v>
      </c>
    </row>
    <row r="101" spans="1:14">
      <c r="A101" t="s">
        <v>866</v>
      </c>
      <c r="B101" t="s">
        <v>867</v>
      </c>
      <c r="C101" t="s">
        <v>868</v>
      </c>
      <c r="D101">
        <v>113180442</v>
      </c>
      <c r="E101">
        <v>758348433</v>
      </c>
      <c r="F101">
        <v>7000</v>
      </c>
      <c r="G101" t="s">
        <v>413</v>
      </c>
      <c r="H101">
        <v>500</v>
      </c>
      <c r="I101">
        <v>2000</v>
      </c>
      <c r="J101">
        <v>9000</v>
      </c>
      <c r="K101">
        <v>2250</v>
      </c>
      <c r="L101">
        <v>9000</v>
      </c>
      <c r="M101">
        <v>0</v>
      </c>
      <c r="N101" t="s">
        <v>814</v>
      </c>
    </row>
    <row r="102" spans="1:14">
      <c r="A102" t="s">
        <v>866</v>
      </c>
      <c r="B102" t="s">
        <v>726</v>
      </c>
      <c r="C102" t="s">
        <v>727</v>
      </c>
      <c r="D102">
        <v>722527858</v>
      </c>
      <c r="E102">
        <v>722706813</v>
      </c>
      <c r="F102">
        <v>7000</v>
      </c>
      <c r="G102" t="s">
        <v>412</v>
      </c>
      <c r="H102">
        <v>500</v>
      </c>
      <c r="I102">
        <v>3000</v>
      </c>
      <c r="J102">
        <v>10000</v>
      </c>
      <c r="K102">
        <v>1667</v>
      </c>
      <c r="L102">
        <v>10000</v>
      </c>
      <c r="M102">
        <v>0</v>
      </c>
      <c r="N102" t="s">
        <v>657</v>
      </c>
    </row>
    <row r="103" spans="1:14">
      <c r="A103" t="s">
        <v>866</v>
      </c>
      <c r="B103" t="s">
        <v>869</v>
      </c>
      <c r="C103" t="s">
        <v>876</v>
      </c>
      <c r="D103">
        <v>118755314</v>
      </c>
      <c r="E103">
        <v>721543421</v>
      </c>
      <c r="F103">
        <v>7000</v>
      </c>
      <c r="G103" t="s">
        <v>870</v>
      </c>
      <c r="H103">
        <v>500</v>
      </c>
      <c r="I103">
        <v>3000</v>
      </c>
      <c r="J103">
        <v>10000</v>
      </c>
      <c r="K103">
        <v>1667</v>
      </c>
      <c r="L103">
        <v>8335</v>
      </c>
      <c r="M103">
        <v>1665</v>
      </c>
      <c r="N103" t="s">
        <v>66</v>
      </c>
    </row>
    <row r="104" spans="1:14">
      <c r="A104" t="s">
        <v>871</v>
      </c>
      <c r="B104" t="s">
        <v>872</v>
      </c>
      <c r="C104" t="s">
        <v>873</v>
      </c>
      <c r="D104">
        <v>791933445</v>
      </c>
      <c r="E104">
        <v>726765939</v>
      </c>
      <c r="F104">
        <v>7000</v>
      </c>
      <c r="G104" t="s">
        <v>413</v>
      </c>
      <c r="H104">
        <v>500</v>
      </c>
      <c r="I104">
        <v>2000</v>
      </c>
      <c r="J104">
        <v>9000</v>
      </c>
      <c r="K104">
        <v>2250</v>
      </c>
      <c r="L104">
        <v>9000</v>
      </c>
      <c r="M104">
        <v>0</v>
      </c>
      <c r="N104" t="s">
        <v>814</v>
      </c>
    </row>
    <row r="105" spans="1:14">
      <c r="A105" s="99" t="s">
        <v>871</v>
      </c>
      <c r="B105" s="99" t="s">
        <v>521</v>
      </c>
      <c r="C105" s="99" t="s">
        <v>522</v>
      </c>
      <c r="D105" s="99">
        <v>715709400</v>
      </c>
      <c r="E105" s="99">
        <v>713101470</v>
      </c>
      <c r="F105" s="99">
        <v>7000</v>
      </c>
      <c r="G105" s="99" t="s">
        <v>412</v>
      </c>
      <c r="H105" s="99">
        <v>500</v>
      </c>
      <c r="I105" s="99">
        <v>3000</v>
      </c>
      <c r="J105" s="99">
        <v>10000</v>
      </c>
      <c r="K105" s="99">
        <v>1667</v>
      </c>
      <c r="L105" s="99">
        <v>7668</v>
      </c>
      <c r="M105" s="99">
        <v>2332</v>
      </c>
      <c r="N105" s="99" t="s">
        <v>43</v>
      </c>
    </row>
    <row r="106" spans="1:14">
      <c r="A106" t="s">
        <v>871</v>
      </c>
      <c r="B106" t="s">
        <v>308</v>
      </c>
      <c r="C106" t="s">
        <v>530</v>
      </c>
      <c r="D106">
        <v>748485559</v>
      </c>
      <c r="E106">
        <v>791470552</v>
      </c>
      <c r="F106">
        <v>7000</v>
      </c>
      <c r="G106" t="s">
        <v>412</v>
      </c>
      <c r="H106">
        <v>500</v>
      </c>
      <c r="I106">
        <v>3000</v>
      </c>
      <c r="J106">
        <v>10000</v>
      </c>
      <c r="K106">
        <v>1667</v>
      </c>
      <c r="L106">
        <v>10000</v>
      </c>
      <c r="M106">
        <v>0</v>
      </c>
      <c r="N106" t="s">
        <v>66</v>
      </c>
    </row>
    <row r="107" spans="1:14">
      <c r="A107" t="s">
        <v>871</v>
      </c>
      <c r="B107" t="s">
        <v>874</v>
      </c>
      <c r="C107" t="s">
        <v>875</v>
      </c>
      <c r="D107">
        <v>715068622</v>
      </c>
      <c r="E107">
        <v>790275139</v>
      </c>
      <c r="F107">
        <v>7000</v>
      </c>
      <c r="G107" t="s">
        <v>412</v>
      </c>
      <c r="H107">
        <v>500</v>
      </c>
      <c r="I107">
        <v>3000</v>
      </c>
      <c r="J107">
        <v>10000</v>
      </c>
      <c r="K107">
        <v>1667</v>
      </c>
      <c r="L107">
        <v>10000</v>
      </c>
      <c r="M107">
        <v>0</v>
      </c>
      <c r="N107" t="s">
        <v>814</v>
      </c>
    </row>
    <row r="108" spans="1:14">
      <c r="A108" t="s">
        <v>877</v>
      </c>
      <c r="B108" t="s">
        <v>717</v>
      </c>
      <c r="C108" t="s">
        <v>718</v>
      </c>
      <c r="D108">
        <v>711312215</v>
      </c>
      <c r="E108">
        <v>790646590</v>
      </c>
      <c r="F108">
        <v>10000</v>
      </c>
      <c r="G108" t="s">
        <v>412</v>
      </c>
      <c r="H108">
        <v>500</v>
      </c>
      <c r="I108">
        <v>3000</v>
      </c>
      <c r="J108">
        <v>13000</v>
      </c>
      <c r="K108">
        <v>2167</v>
      </c>
      <c r="L108">
        <v>8332</v>
      </c>
      <c r="M108">
        <v>9165</v>
      </c>
      <c r="N108" t="s">
        <v>43</v>
      </c>
    </row>
    <row r="109" spans="1:14">
      <c r="A109" t="s">
        <v>877</v>
      </c>
      <c r="B109" t="s">
        <v>795</v>
      </c>
      <c r="C109" t="s">
        <v>553</v>
      </c>
      <c r="D109">
        <v>711382851</v>
      </c>
      <c r="E109">
        <v>758274400</v>
      </c>
      <c r="F109">
        <v>5000</v>
      </c>
      <c r="G109" t="s">
        <v>413</v>
      </c>
      <c r="H109">
        <v>500</v>
      </c>
      <c r="I109">
        <v>1000</v>
      </c>
      <c r="J109">
        <v>6000</v>
      </c>
      <c r="K109">
        <v>1500</v>
      </c>
      <c r="L109">
        <v>1700</v>
      </c>
      <c r="M109">
        <v>4300</v>
      </c>
      <c r="N109" t="s">
        <v>796</v>
      </c>
    </row>
    <row r="110" spans="1:14">
      <c r="A110" t="s">
        <v>877</v>
      </c>
      <c r="B110" t="s">
        <v>878</v>
      </c>
      <c r="C110" t="s">
        <v>879</v>
      </c>
      <c r="D110">
        <v>705191158</v>
      </c>
      <c r="E110">
        <v>762070095</v>
      </c>
      <c r="F110">
        <v>8000</v>
      </c>
      <c r="G110" t="s">
        <v>412</v>
      </c>
      <c r="H110">
        <v>500</v>
      </c>
      <c r="I110">
        <v>3000</v>
      </c>
      <c r="J110">
        <v>11000</v>
      </c>
      <c r="K110">
        <v>1834</v>
      </c>
      <c r="L110">
        <v>11000</v>
      </c>
      <c r="M110">
        <v>0</v>
      </c>
      <c r="N110" t="s">
        <v>814</v>
      </c>
    </row>
    <row r="111" spans="1:14">
      <c r="A111" s="98" t="s">
        <v>880</v>
      </c>
      <c r="B111" t="s">
        <v>687</v>
      </c>
      <c r="C111" t="s">
        <v>428</v>
      </c>
      <c r="D111">
        <v>740548417</v>
      </c>
      <c r="E111">
        <v>728108487</v>
      </c>
      <c r="F111">
        <v>7000</v>
      </c>
      <c r="G111" t="s">
        <v>412</v>
      </c>
      <c r="H111">
        <v>500</v>
      </c>
      <c r="I111">
        <v>2000</v>
      </c>
      <c r="J111">
        <v>9000</v>
      </c>
      <c r="K111">
        <v>2250</v>
      </c>
      <c r="L111">
        <v>9000</v>
      </c>
      <c r="M111">
        <v>0</v>
      </c>
      <c r="N111" t="s">
        <v>43</v>
      </c>
    </row>
    <row r="112" spans="1:14">
      <c r="A112" t="s">
        <v>880</v>
      </c>
      <c r="B112" t="s">
        <v>152</v>
      </c>
      <c r="C112" t="s">
        <v>153</v>
      </c>
      <c r="D112">
        <v>769621536</v>
      </c>
      <c r="E112">
        <v>724544938</v>
      </c>
      <c r="F112">
        <v>15000</v>
      </c>
      <c r="G112" t="s">
        <v>412</v>
      </c>
      <c r="H112">
        <v>500</v>
      </c>
      <c r="I112">
        <v>4500</v>
      </c>
      <c r="J112">
        <v>19500</v>
      </c>
      <c r="K112">
        <v>3250</v>
      </c>
      <c r="L112">
        <v>16250</v>
      </c>
      <c r="M112">
        <v>3250</v>
      </c>
      <c r="N112" t="s">
        <v>43</v>
      </c>
    </row>
    <row r="113" spans="1:14">
      <c r="A113" t="s">
        <v>880</v>
      </c>
      <c r="B113" t="s">
        <v>86</v>
      </c>
      <c r="C113" t="s">
        <v>779</v>
      </c>
      <c r="D113">
        <v>708199244</v>
      </c>
      <c r="E113">
        <v>70509057</v>
      </c>
      <c r="F113">
        <v>20000</v>
      </c>
      <c r="G113" t="s">
        <v>413</v>
      </c>
      <c r="H113">
        <v>500</v>
      </c>
      <c r="I113">
        <v>4000</v>
      </c>
      <c r="J113">
        <v>24000</v>
      </c>
      <c r="K113">
        <v>6000</v>
      </c>
      <c r="L113">
        <v>7000</v>
      </c>
      <c r="M113">
        <v>17000</v>
      </c>
      <c r="N113" t="s">
        <v>657</v>
      </c>
    </row>
    <row r="114" spans="1:14">
      <c r="A114" t="s">
        <v>880</v>
      </c>
      <c r="B114" t="s">
        <v>692</v>
      </c>
      <c r="C114" t="s">
        <v>27</v>
      </c>
      <c r="D114">
        <v>715365131</v>
      </c>
      <c r="E114">
        <v>713543764</v>
      </c>
      <c r="F114">
        <v>10000</v>
      </c>
      <c r="G114" t="s">
        <v>412</v>
      </c>
      <c r="H114">
        <v>500</v>
      </c>
      <c r="I114">
        <v>3000</v>
      </c>
      <c r="J114">
        <v>13000</v>
      </c>
      <c r="K114">
        <v>2167</v>
      </c>
      <c r="L114">
        <v>13000</v>
      </c>
      <c r="M114">
        <v>0</v>
      </c>
      <c r="N114" t="s">
        <v>657</v>
      </c>
    </row>
    <row r="115" spans="1:14">
      <c r="A115" t="s">
        <v>880</v>
      </c>
      <c r="B115" t="s">
        <v>881</v>
      </c>
      <c r="C115" t="s">
        <v>882</v>
      </c>
      <c r="D115">
        <v>728981668</v>
      </c>
      <c r="E115">
        <v>769325233</v>
      </c>
      <c r="F115">
        <v>7000</v>
      </c>
      <c r="G115" t="s">
        <v>412</v>
      </c>
      <c r="H115">
        <v>500</v>
      </c>
      <c r="I115">
        <v>3000</v>
      </c>
      <c r="J115">
        <v>10000</v>
      </c>
      <c r="K115">
        <v>1667</v>
      </c>
      <c r="L115">
        <v>10000</v>
      </c>
      <c r="M115">
        <v>0</v>
      </c>
      <c r="N115" t="s">
        <v>814</v>
      </c>
    </row>
    <row r="116" spans="1:14">
      <c r="A116" s="98" t="s">
        <v>880</v>
      </c>
      <c r="B116" t="s">
        <v>780</v>
      </c>
      <c r="C116" t="s">
        <v>781</v>
      </c>
      <c r="D116">
        <v>758849257</v>
      </c>
      <c r="E116">
        <v>748300019</v>
      </c>
      <c r="F116">
        <v>8000</v>
      </c>
      <c r="G116" t="s">
        <v>413</v>
      </c>
      <c r="H116">
        <v>500</v>
      </c>
      <c r="I116">
        <v>2000</v>
      </c>
      <c r="J116">
        <v>10000</v>
      </c>
      <c r="K116">
        <v>2500</v>
      </c>
      <c r="L116">
        <v>10000</v>
      </c>
      <c r="M116">
        <v>0</v>
      </c>
      <c r="N116" t="s">
        <v>66</v>
      </c>
    </row>
    <row r="117" spans="1:14">
      <c r="A117" t="s">
        <v>880</v>
      </c>
      <c r="B117" t="s">
        <v>114</v>
      </c>
      <c r="C117" t="s">
        <v>115</v>
      </c>
      <c r="D117">
        <v>742033906</v>
      </c>
      <c r="E117">
        <v>790412246</v>
      </c>
      <c r="F117">
        <v>7000</v>
      </c>
      <c r="G117" t="s">
        <v>412</v>
      </c>
      <c r="H117">
        <v>500</v>
      </c>
      <c r="I117">
        <v>3000</v>
      </c>
      <c r="J117">
        <v>10000</v>
      </c>
      <c r="K117">
        <v>1667</v>
      </c>
      <c r="L117">
        <v>8335</v>
      </c>
      <c r="M117">
        <v>1665</v>
      </c>
      <c r="N117" t="s">
        <v>657</v>
      </c>
    </row>
    <row r="118" spans="1:14">
      <c r="A118" t="s">
        <v>880</v>
      </c>
      <c r="B118" t="s">
        <v>883</v>
      </c>
      <c r="C118" t="s">
        <v>885</v>
      </c>
      <c r="D118">
        <v>723204844</v>
      </c>
      <c r="E118">
        <v>717892112</v>
      </c>
      <c r="F118">
        <v>7000</v>
      </c>
      <c r="G118" t="s">
        <v>412</v>
      </c>
      <c r="H118">
        <v>500</v>
      </c>
      <c r="I118">
        <v>3000</v>
      </c>
      <c r="J118">
        <v>10000</v>
      </c>
      <c r="K118">
        <v>1667</v>
      </c>
      <c r="L118">
        <v>10000</v>
      </c>
      <c r="M118">
        <v>0</v>
      </c>
      <c r="N118" t="s">
        <v>814</v>
      </c>
    </row>
    <row r="119" spans="1:14">
      <c r="A119" t="s">
        <v>880</v>
      </c>
      <c r="B119" t="s">
        <v>884</v>
      </c>
      <c r="C119" t="s">
        <v>886</v>
      </c>
      <c r="D119">
        <v>794817796</v>
      </c>
      <c r="E119">
        <v>702282198</v>
      </c>
      <c r="F119">
        <v>7000</v>
      </c>
      <c r="G119" t="s">
        <v>412</v>
      </c>
      <c r="H119">
        <v>500</v>
      </c>
      <c r="I119">
        <v>3000</v>
      </c>
      <c r="J119">
        <v>10000</v>
      </c>
      <c r="K119">
        <v>1667</v>
      </c>
      <c r="L119">
        <v>10000</v>
      </c>
      <c r="M119">
        <v>0</v>
      </c>
      <c r="N119" t="s">
        <v>66</v>
      </c>
    </row>
    <row r="120" spans="1:14">
      <c r="A120" s="98" t="s">
        <v>880</v>
      </c>
      <c r="B120" t="s">
        <v>564</v>
      </c>
      <c r="C120" t="s">
        <v>704</v>
      </c>
      <c r="D120">
        <v>743647697</v>
      </c>
      <c r="E120">
        <v>741796731</v>
      </c>
      <c r="F120">
        <v>7000</v>
      </c>
      <c r="G120" t="s">
        <v>413</v>
      </c>
      <c r="H120">
        <v>500</v>
      </c>
      <c r="I120">
        <v>2000</v>
      </c>
      <c r="J120">
        <v>9000</v>
      </c>
      <c r="K120">
        <v>2250</v>
      </c>
      <c r="L120">
        <v>9000</v>
      </c>
      <c r="M120">
        <v>0</v>
      </c>
      <c r="N120" t="s">
        <v>66</v>
      </c>
    </row>
    <row r="121" spans="1:14">
      <c r="A121" t="s">
        <v>880</v>
      </c>
      <c r="B121" t="s">
        <v>665</v>
      </c>
      <c r="C121" t="s">
        <v>666</v>
      </c>
      <c r="D121">
        <v>724479261</v>
      </c>
      <c r="E121">
        <v>728649729</v>
      </c>
      <c r="F121">
        <v>10000</v>
      </c>
      <c r="G121" t="s">
        <v>413</v>
      </c>
      <c r="H121">
        <v>500</v>
      </c>
      <c r="I121">
        <v>2000</v>
      </c>
      <c r="J121">
        <v>12000</v>
      </c>
      <c r="K121">
        <v>3000</v>
      </c>
      <c r="L121">
        <v>12000</v>
      </c>
      <c r="M121">
        <v>0</v>
      </c>
      <c r="N121" t="s">
        <v>66</v>
      </c>
    </row>
    <row r="122" spans="1:14">
      <c r="A122" t="s">
        <v>887</v>
      </c>
      <c r="B122" t="s">
        <v>787</v>
      </c>
      <c r="C122" t="s">
        <v>788</v>
      </c>
      <c r="D122">
        <v>721950008</v>
      </c>
      <c r="E122">
        <v>727258550</v>
      </c>
      <c r="F122">
        <v>7000</v>
      </c>
      <c r="G122" t="s">
        <v>413</v>
      </c>
      <c r="H122">
        <v>500</v>
      </c>
      <c r="I122">
        <v>2000</v>
      </c>
      <c r="J122">
        <v>9000</v>
      </c>
      <c r="K122">
        <v>2250</v>
      </c>
      <c r="L122">
        <v>9000</v>
      </c>
      <c r="M122">
        <v>0</v>
      </c>
      <c r="N122" t="s">
        <v>66</v>
      </c>
    </row>
    <row r="123" spans="1:14">
      <c r="A123" t="s">
        <v>887</v>
      </c>
      <c r="B123" t="s">
        <v>179</v>
      </c>
      <c r="C123" t="s">
        <v>180</v>
      </c>
      <c r="D123">
        <v>797775990</v>
      </c>
      <c r="E123">
        <v>748608288</v>
      </c>
      <c r="F123">
        <v>12000</v>
      </c>
      <c r="G123" t="s">
        <v>412</v>
      </c>
      <c r="H123">
        <v>500</v>
      </c>
      <c r="I123">
        <v>3600</v>
      </c>
      <c r="J123">
        <v>15600</v>
      </c>
      <c r="K123">
        <v>2600</v>
      </c>
      <c r="L123">
        <v>15600</v>
      </c>
      <c r="M123">
        <v>0</v>
      </c>
      <c r="N123" t="s">
        <v>66</v>
      </c>
    </row>
    <row r="124" spans="1:14">
      <c r="A124" t="s">
        <v>887</v>
      </c>
      <c r="B124" t="s">
        <v>139</v>
      </c>
      <c r="C124" t="s">
        <v>888</v>
      </c>
      <c r="D124">
        <v>701483016</v>
      </c>
      <c r="E124">
        <v>719699112</v>
      </c>
      <c r="F124">
        <v>8000</v>
      </c>
      <c r="G124" t="s">
        <v>412</v>
      </c>
      <c r="H124">
        <v>500</v>
      </c>
      <c r="I124">
        <v>3000</v>
      </c>
      <c r="J124">
        <v>11000</v>
      </c>
      <c r="K124">
        <v>1834</v>
      </c>
      <c r="L124">
        <v>9170</v>
      </c>
      <c r="M124">
        <v>1830</v>
      </c>
      <c r="N124" t="s">
        <v>657</v>
      </c>
    </row>
    <row r="125" spans="1:14">
      <c r="A125" t="s">
        <v>887</v>
      </c>
      <c r="B125" t="s">
        <v>894</v>
      </c>
      <c r="C125" t="s">
        <v>800</v>
      </c>
      <c r="D125">
        <v>757601818</v>
      </c>
      <c r="E125">
        <v>76227036</v>
      </c>
      <c r="F125">
        <v>7000</v>
      </c>
      <c r="G125" t="s">
        <v>412</v>
      </c>
      <c r="H125">
        <v>500</v>
      </c>
      <c r="I125">
        <v>3000</v>
      </c>
      <c r="J125">
        <v>10000</v>
      </c>
      <c r="K125">
        <v>1667</v>
      </c>
      <c r="L125">
        <v>0</v>
      </c>
      <c r="M125">
        <v>10000</v>
      </c>
      <c r="N125" t="s">
        <v>657</v>
      </c>
    </row>
    <row r="126" spans="1:14">
      <c r="A126" t="s">
        <v>887</v>
      </c>
      <c r="B126" t="s">
        <v>889</v>
      </c>
      <c r="C126" t="s">
        <v>897</v>
      </c>
      <c r="D126">
        <v>700677627</v>
      </c>
      <c r="E126">
        <v>724348241</v>
      </c>
      <c r="F126">
        <v>7000</v>
      </c>
      <c r="G126" t="s">
        <v>412</v>
      </c>
      <c r="H126">
        <v>500</v>
      </c>
      <c r="I126">
        <v>3000</v>
      </c>
      <c r="J126">
        <v>10000</v>
      </c>
      <c r="K126">
        <v>1667</v>
      </c>
      <c r="L126">
        <v>10000</v>
      </c>
      <c r="M126">
        <v>0</v>
      </c>
      <c r="N126" t="s">
        <v>66</v>
      </c>
    </row>
    <row r="127" spans="1:14">
      <c r="A127" t="s">
        <v>887</v>
      </c>
      <c r="B127" t="s">
        <v>890</v>
      </c>
      <c r="C127" t="s">
        <v>892</v>
      </c>
      <c r="D127">
        <v>706535129</v>
      </c>
      <c r="E127">
        <v>746332140</v>
      </c>
      <c r="F127">
        <v>7000</v>
      </c>
      <c r="G127" t="s">
        <v>412</v>
      </c>
      <c r="H127">
        <v>500</v>
      </c>
      <c r="I127">
        <v>3000</v>
      </c>
      <c r="J127">
        <v>10000</v>
      </c>
      <c r="K127">
        <v>1667</v>
      </c>
      <c r="L127">
        <v>8335</v>
      </c>
      <c r="M127">
        <v>1665</v>
      </c>
      <c r="N127" t="s">
        <v>814</v>
      </c>
    </row>
    <row r="128" spans="1:14">
      <c r="A128" t="s">
        <v>887</v>
      </c>
      <c r="B128" t="s">
        <v>891</v>
      </c>
      <c r="C128" t="s">
        <v>893</v>
      </c>
      <c r="D128">
        <v>115563126</v>
      </c>
      <c r="E128">
        <v>722337146</v>
      </c>
      <c r="F128">
        <v>7000</v>
      </c>
      <c r="G128" t="s">
        <v>412</v>
      </c>
      <c r="H128">
        <v>500</v>
      </c>
      <c r="I128">
        <v>3000</v>
      </c>
      <c r="J128">
        <v>10000</v>
      </c>
      <c r="K128">
        <v>1667</v>
      </c>
      <c r="L128">
        <v>8335</v>
      </c>
      <c r="M128">
        <v>1665</v>
      </c>
      <c r="N128" t="s">
        <v>814</v>
      </c>
    </row>
    <row r="129" spans="1:14">
      <c r="A129" t="s">
        <v>887</v>
      </c>
      <c r="B129" t="s">
        <v>895</v>
      </c>
      <c r="C129" t="s">
        <v>896</v>
      </c>
      <c r="D129">
        <v>114744475</v>
      </c>
      <c r="E129">
        <v>744652580</v>
      </c>
      <c r="F129">
        <v>7000</v>
      </c>
      <c r="G129" t="s">
        <v>412</v>
      </c>
      <c r="H129">
        <v>500</v>
      </c>
      <c r="I129">
        <v>3000</v>
      </c>
      <c r="J129">
        <v>10000</v>
      </c>
      <c r="K129">
        <v>1667</v>
      </c>
      <c r="L129">
        <v>0</v>
      </c>
      <c r="M129">
        <v>10000</v>
      </c>
      <c r="N129" t="s">
        <v>657</v>
      </c>
    </row>
    <row r="130" spans="1:14">
      <c r="A130" t="s">
        <v>898</v>
      </c>
      <c r="B130" t="s">
        <v>127</v>
      </c>
      <c r="C130" t="s">
        <v>572</v>
      </c>
      <c r="D130">
        <v>724024611</v>
      </c>
      <c r="E130">
        <v>795493127</v>
      </c>
      <c r="F130">
        <v>10000</v>
      </c>
      <c r="G130" t="s">
        <v>412</v>
      </c>
      <c r="H130">
        <v>500</v>
      </c>
      <c r="I130">
        <v>3000</v>
      </c>
      <c r="J130">
        <v>13000</v>
      </c>
      <c r="K130">
        <v>2167</v>
      </c>
      <c r="L130">
        <v>10835</v>
      </c>
      <c r="M130">
        <v>2165</v>
      </c>
      <c r="N130" t="s">
        <v>43</v>
      </c>
    </row>
    <row r="131" spans="1:14">
      <c r="A131" t="s">
        <v>898</v>
      </c>
      <c r="B131" t="s">
        <v>73</v>
      </c>
      <c r="C131" t="s">
        <v>748</v>
      </c>
      <c r="D131">
        <v>714503794</v>
      </c>
      <c r="E131">
        <v>745128614</v>
      </c>
      <c r="F131">
        <v>7000</v>
      </c>
      <c r="G131" t="s">
        <v>412</v>
      </c>
      <c r="H131">
        <v>500</v>
      </c>
      <c r="I131">
        <v>3000</v>
      </c>
      <c r="J131">
        <v>10000</v>
      </c>
      <c r="K131">
        <v>1667</v>
      </c>
      <c r="L131">
        <v>10000</v>
      </c>
      <c r="M131">
        <v>0</v>
      </c>
      <c r="N131" t="s">
        <v>43</v>
      </c>
    </row>
    <row r="132" spans="1:14">
      <c r="A132" t="s">
        <v>898</v>
      </c>
      <c r="B132" t="s">
        <v>760</v>
      </c>
      <c r="C132" t="s">
        <v>761</v>
      </c>
      <c r="D132">
        <v>728290725</v>
      </c>
      <c r="E132">
        <v>714592685</v>
      </c>
      <c r="F132">
        <v>12000</v>
      </c>
      <c r="G132" t="s">
        <v>412</v>
      </c>
      <c r="H132">
        <v>500</v>
      </c>
      <c r="I132">
        <v>3600</v>
      </c>
      <c r="J132">
        <v>15600</v>
      </c>
      <c r="K132">
        <v>3250</v>
      </c>
      <c r="L132">
        <v>15600</v>
      </c>
      <c r="M132">
        <v>0</v>
      </c>
      <c r="N132" t="s">
        <v>43</v>
      </c>
    </row>
    <row r="133" spans="1:14">
      <c r="A133" s="98" t="s">
        <v>898</v>
      </c>
      <c r="B133" t="s">
        <v>816</v>
      </c>
      <c r="C133" t="s">
        <v>526</v>
      </c>
      <c r="D133">
        <v>714076538</v>
      </c>
      <c r="E133">
        <v>798654955</v>
      </c>
      <c r="F133">
        <v>10000</v>
      </c>
      <c r="G133" t="s">
        <v>413</v>
      </c>
      <c r="H133">
        <v>500</v>
      </c>
      <c r="I133">
        <v>2000</v>
      </c>
      <c r="J133">
        <v>12000</v>
      </c>
      <c r="K133">
        <v>3000</v>
      </c>
      <c r="L133">
        <v>12000</v>
      </c>
      <c r="M133">
        <v>0</v>
      </c>
      <c r="N133" t="s">
        <v>657</v>
      </c>
    </row>
    <row r="134" spans="1:14">
      <c r="A134" t="s">
        <v>898</v>
      </c>
      <c r="B134" t="s">
        <v>514</v>
      </c>
      <c r="C134" t="s">
        <v>757</v>
      </c>
      <c r="D134">
        <v>790082214</v>
      </c>
      <c r="E134">
        <v>712258783</v>
      </c>
      <c r="F134">
        <v>9000</v>
      </c>
      <c r="G134" t="s">
        <v>412</v>
      </c>
      <c r="H134">
        <v>500</v>
      </c>
      <c r="I134">
        <v>3000</v>
      </c>
      <c r="J134">
        <v>12000</v>
      </c>
      <c r="K134">
        <v>2000</v>
      </c>
      <c r="L134">
        <v>5900</v>
      </c>
      <c r="M134">
        <v>6100</v>
      </c>
      <c r="N134" t="s">
        <v>66</v>
      </c>
    </row>
    <row r="135" spans="1:14">
      <c r="A135" t="s">
        <v>899</v>
      </c>
      <c r="B135" t="s">
        <v>900</v>
      </c>
      <c r="C135" t="s">
        <v>901</v>
      </c>
      <c r="D135">
        <v>700041662</v>
      </c>
      <c r="E135">
        <v>721778601</v>
      </c>
      <c r="F135">
        <v>7000</v>
      </c>
      <c r="G135" t="s">
        <v>412</v>
      </c>
      <c r="H135">
        <v>700</v>
      </c>
      <c r="I135">
        <v>3000</v>
      </c>
      <c r="J135">
        <v>10000</v>
      </c>
      <c r="K135">
        <v>1667</v>
      </c>
      <c r="L135">
        <v>8335</v>
      </c>
      <c r="M135">
        <v>1665</v>
      </c>
      <c r="N135" t="s">
        <v>66</v>
      </c>
    </row>
    <row r="136" spans="1:14">
      <c r="A136" s="98" t="s">
        <v>898</v>
      </c>
      <c r="B136" t="s">
        <v>668</v>
      </c>
      <c r="C136" t="s">
        <v>113</v>
      </c>
      <c r="D136">
        <v>711973607</v>
      </c>
      <c r="E136">
        <v>742103835</v>
      </c>
      <c r="F136">
        <v>20000</v>
      </c>
      <c r="G136" t="s">
        <v>532</v>
      </c>
      <c r="H136">
        <v>500</v>
      </c>
      <c r="I136">
        <v>4000</v>
      </c>
      <c r="J136">
        <v>24000</v>
      </c>
      <c r="K136">
        <v>6000</v>
      </c>
      <c r="L136">
        <v>24000</v>
      </c>
      <c r="M136">
        <v>0</v>
      </c>
      <c r="N136" t="s">
        <v>43</v>
      </c>
    </row>
    <row r="137" spans="1:14">
      <c r="A137" t="s">
        <v>902</v>
      </c>
      <c r="B137" t="s">
        <v>903</v>
      </c>
      <c r="C137" t="s">
        <v>904</v>
      </c>
      <c r="D137">
        <v>726784976</v>
      </c>
      <c r="E137">
        <v>711962072</v>
      </c>
      <c r="F137">
        <v>7000</v>
      </c>
      <c r="G137" t="s">
        <v>412</v>
      </c>
      <c r="H137">
        <v>700</v>
      </c>
      <c r="I137">
        <v>3000</v>
      </c>
      <c r="J137">
        <v>10000</v>
      </c>
      <c r="K137">
        <v>1667</v>
      </c>
      <c r="L137">
        <v>0</v>
      </c>
      <c r="M137">
        <v>10000</v>
      </c>
      <c r="N137" t="s">
        <v>657</v>
      </c>
    </row>
    <row r="138" spans="1:14">
      <c r="A138" t="s">
        <v>902</v>
      </c>
      <c r="B138" t="s">
        <v>905</v>
      </c>
      <c r="C138" t="s">
        <v>910</v>
      </c>
      <c r="D138">
        <v>745242789</v>
      </c>
      <c r="E138">
        <v>795884457</v>
      </c>
      <c r="F138">
        <v>10000</v>
      </c>
      <c r="G138" t="s">
        <v>558</v>
      </c>
      <c r="H138">
        <v>700</v>
      </c>
      <c r="I138">
        <v>3000</v>
      </c>
      <c r="J138">
        <v>13000</v>
      </c>
      <c r="K138">
        <v>2167</v>
      </c>
      <c r="L138">
        <v>10728</v>
      </c>
      <c r="M138">
        <v>2272</v>
      </c>
      <c r="N138" t="s">
        <v>66</v>
      </c>
    </row>
    <row r="139" spans="1:14">
      <c r="A139" t="s">
        <v>902</v>
      </c>
      <c r="B139" t="s">
        <v>771</v>
      </c>
      <c r="C139" t="s">
        <v>772</v>
      </c>
      <c r="D139">
        <v>758091413</v>
      </c>
      <c r="E139">
        <v>715021279</v>
      </c>
      <c r="F139">
        <v>10000</v>
      </c>
      <c r="G139" t="s">
        <v>413</v>
      </c>
      <c r="H139">
        <v>500</v>
      </c>
      <c r="I139">
        <v>2000</v>
      </c>
      <c r="J139">
        <v>12000</v>
      </c>
      <c r="K139">
        <v>3000</v>
      </c>
      <c r="L139">
        <v>12000</v>
      </c>
      <c r="M139">
        <v>0</v>
      </c>
      <c r="N139" t="s">
        <v>43</v>
      </c>
    </row>
    <row r="140" spans="1:14">
      <c r="A140" t="s">
        <v>902</v>
      </c>
      <c r="B140" t="s">
        <v>540</v>
      </c>
      <c r="C140" t="s">
        <v>710</v>
      </c>
      <c r="D140">
        <v>758991413</v>
      </c>
      <c r="E140">
        <v>752560980</v>
      </c>
      <c r="F140">
        <v>7000</v>
      </c>
      <c r="G140" t="s">
        <v>412</v>
      </c>
      <c r="H140">
        <v>500</v>
      </c>
      <c r="I140">
        <v>3000</v>
      </c>
      <c r="J140">
        <v>10000</v>
      </c>
      <c r="K140">
        <v>1667</v>
      </c>
      <c r="L140">
        <v>5001</v>
      </c>
      <c r="M140">
        <v>4999</v>
      </c>
      <c r="N140" t="s">
        <v>657</v>
      </c>
    </row>
    <row r="141" spans="1:14">
      <c r="A141" t="s">
        <v>902</v>
      </c>
      <c r="B141" t="s">
        <v>609</v>
      </c>
      <c r="C141" t="s">
        <v>292</v>
      </c>
      <c r="D141">
        <v>707492014</v>
      </c>
      <c r="E141">
        <v>720311445</v>
      </c>
      <c r="F141">
        <v>8000</v>
      </c>
      <c r="G141" t="s">
        <v>412</v>
      </c>
      <c r="H141">
        <v>500</v>
      </c>
      <c r="I141">
        <v>3000</v>
      </c>
      <c r="J141">
        <v>11000</v>
      </c>
      <c r="K141">
        <v>1834</v>
      </c>
      <c r="L141">
        <v>7337</v>
      </c>
      <c r="M141">
        <v>3663</v>
      </c>
      <c r="N141" t="s">
        <v>657</v>
      </c>
    </row>
    <row r="142" spans="1:14">
      <c r="A142" t="s">
        <v>902</v>
      </c>
      <c r="B142" t="s">
        <v>735</v>
      </c>
      <c r="C142" t="s">
        <v>736</v>
      </c>
      <c r="D142">
        <v>723519085</v>
      </c>
      <c r="E142">
        <v>712989540</v>
      </c>
      <c r="F142">
        <v>10000</v>
      </c>
      <c r="G142" t="s">
        <v>412</v>
      </c>
      <c r="H142">
        <v>500</v>
      </c>
      <c r="I142">
        <v>3000</v>
      </c>
      <c r="J142">
        <v>13000</v>
      </c>
      <c r="K142">
        <v>2167</v>
      </c>
      <c r="L142">
        <v>10835</v>
      </c>
      <c r="M142">
        <v>2165</v>
      </c>
      <c r="N142" t="s">
        <v>66</v>
      </c>
    </row>
    <row r="143" spans="1:14">
      <c r="A143" s="98" t="s">
        <v>902</v>
      </c>
      <c r="B143" t="s">
        <v>817</v>
      </c>
      <c r="C143" t="s">
        <v>522</v>
      </c>
      <c r="D143">
        <v>704746868</v>
      </c>
      <c r="E143">
        <v>713101470</v>
      </c>
      <c r="F143">
        <v>7000</v>
      </c>
      <c r="G143" t="s">
        <v>412</v>
      </c>
      <c r="H143">
        <v>500</v>
      </c>
      <c r="I143">
        <v>3000</v>
      </c>
      <c r="J143">
        <v>10000</v>
      </c>
      <c r="K143">
        <v>1667</v>
      </c>
      <c r="L143">
        <v>10000</v>
      </c>
      <c r="M143">
        <v>0</v>
      </c>
      <c r="N143" t="s">
        <v>66</v>
      </c>
    </row>
    <row r="144" spans="1:14">
      <c r="A144" t="s">
        <v>907</v>
      </c>
      <c r="B144" t="s">
        <v>906</v>
      </c>
      <c r="C144" t="s">
        <v>908</v>
      </c>
      <c r="D144">
        <v>710711406</v>
      </c>
      <c r="E144">
        <v>757956212</v>
      </c>
      <c r="F144">
        <v>7000</v>
      </c>
      <c r="G144" t="s">
        <v>412</v>
      </c>
      <c r="H144">
        <v>700</v>
      </c>
      <c r="I144">
        <v>3000</v>
      </c>
      <c r="J144">
        <v>10000</v>
      </c>
      <c r="K144">
        <v>1667</v>
      </c>
      <c r="L144">
        <v>5832</v>
      </c>
      <c r="M144">
        <v>4168</v>
      </c>
      <c r="N144" t="s">
        <v>43</v>
      </c>
    </row>
    <row r="145" spans="1:14">
      <c r="A145" t="s">
        <v>907</v>
      </c>
      <c r="B145" t="s">
        <v>909</v>
      </c>
      <c r="C145" t="s">
        <v>749</v>
      </c>
      <c r="D145">
        <v>724712026</v>
      </c>
      <c r="E145">
        <v>746563025</v>
      </c>
      <c r="F145">
        <v>14000</v>
      </c>
      <c r="G145" t="s">
        <v>412</v>
      </c>
      <c r="H145">
        <v>500</v>
      </c>
      <c r="I145">
        <v>4200</v>
      </c>
      <c r="J145">
        <v>18200</v>
      </c>
      <c r="K145">
        <v>3034</v>
      </c>
      <c r="L145">
        <v>15170</v>
      </c>
      <c r="M145">
        <v>3030</v>
      </c>
      <c r="N145" t="s">
        <v>657</v>
      </c>
    </row>
    <row r="146" spans="1:14">
      <c r="A146" t="s">
        <v>907</v>
      </c>
      <c r="B146" t="s">
        <v>161</v>
      </c>
      <c r="C146" t="s">
        <v>684</v>
      </c>
      <c r="D146">
        <v>724836941</v>
      </c>
      <c r="E146">
        <v>743320897</v>
      </c>
      <c r="F146">
        <v>10000</v>
      </c>
      <c r="G146" t="s">
        <v>413</v>
      </c>
      <c r="H146">
        <v>500</v>
      </c>
      <c r="I146">
        <v>2000</v>
      </c>
      <c r="J146">
        <v>12000</v>
      </c>
      <c r="K146">
        <v>3000</v>
      </c>
      <c r="L146">
        <v>12000</v>
      </c>
      <c r="M146">
        <v>0</v>
      </c>
      <c r="N146" t="s">
        <v>66</v>
      </c>
    </row>
    <row r="147" spans="1:14">
      <c r="A147" s="98" t="s">
        <v>907</v>
      </c>
      <c r="B147" t="s">
        <v>915</v>
      </c>
      <c r="C147" t="s">
        <v>911</v>
      </c>
      <c r="D147">
        <v>740364099</v>
      </c>
      <c r="E147">
        <v>1133391643</v>
      </c>
      <c r="F147">
        <v>7000</v>
      </c>
      <c r="G147" t="s">
        <v>412</v>
      </c>
      <c r="H147">
        <v>700</v>
      </c>
      <c r="I147">
        <v>3000</v>
      </c>
      <c r="J147">
        <v>10000</v>
      </c>
      <c r="K147">
        <v>1667</v>
      </c>
      <c r="L147">
        <v>8335</v>
      </c>
      <c r="M147">
        <v>1665</v>
      </c>
      <c r="N147" t="s">
        <v>814</v>
      </c>
    </row>
    <row r="148" spans="1:14">
      <c r="A148" t="s">
        <v>912</v>
      </c>
      <c r="B148" t="s">
        <v>770</v>
      </c>
      <c r="C148" t="s">
        <v>91</v>
      </c>
      <c r="D148">
        <v>748310063</v>
      </c>
      <c r="E148">
        <v>721425519</v>
      </c>
      <c r="F148">
        <v>10000</v>
      </c>
      <c r="G148" t="s">
        <v>412</v>
      </c>
      <c r="H148">
        <v>500</v>
      </c>
      <c r="I148">
        <v>3000</v>
      </c>
      <c r="J148">
        <v>13000</v>
      </c>
      <c r="K148">
        <v>2167</v>
      </c>
      <c r="L148">
        <v>13000</v>
      </c>
      <c r="M148">
        <v>0</v>
      </c>
      <c r="N148" t="s">
        <v>43</v>
      </c>
    </row>
    <row r="149" spans="1:14">
      <c r="A149" t="s">
        <v>912</v>
      </c>
      <c r="B149" t="s">
        <v>793</v>
      </c>
      <c r="C149" t="s">
        <v>794</v>
      </c>
      <c r="D149">
        <v>724701702</v>
      </c>
      <c r="E149">
        <v>710576285</v>
      </c>
      <c r="F149">
        <v>12000</v>
      </c>
      <c r="G149" t="s">
        <v>412</v>
      </c>
      <c r="H149">
        <v>500</v>
      </c>
      <c r="I149">
        <v>3600</v>
      </c>
      <c r="J149">
        <v>15600</v>
      </c>
      <c r="K149">
        <v>2600</v>
      </c>
      <c r="L149">
        <v>10400</v>
      </c>
      <c r="M149">
        <v>5200</v>
      </c>
      <c r="N149" t="s">
        <v>657</v>
      </c>
    </row>
    <row r="150" spans="1:14">
      <c r="A150" s="98" t="s">
        <v>912</v>
      </c>
      <c r="B150" t="s">
        <v>672</v>
      </c>
      <c r="C150" t="s">
        <v>822</v>
      </c>
      <c r="D150">
        <v>794400120</v>
      </c>
      <c r="E150">
        <v>7200886677</v>
      </c>
      <c r="F150">
        <v>7000</v>
      </c>
      <c r="G150" t="s">
        <v>412</v>
      </c>
      <c r="H150">
        <v>500</v>
      </c>
      <c r="I150">
        <v>3000</v>
      </c>
      <c r="J150">
        <v>10000</v>
      </c>
      <c r="K150">
        <v>1667</v>
      </c>
      <c r="L150">
        <v>5001</v>
      </c>
      <c r="M150">
        <v>4999</v>
      </c>
      <c r="N150" t="s">
        <v>814</v>
      </c>
    </row>
    <row r="151" spans="1:14">
      <c r="A151" t="s">
        <v>912</v>
      </c>
      <c r="B151" t="s">
        <v>913</v>
      </c>
      <c r="C151" t="s">
        <v>914</v>
      </c>
      <c r="D151">
        <v>793568159</v>
      </c>
      <c r="E151">
        <v>748306569</v>
      </c>
      <c r="F151">
        <v>7000</v>
      </c>
      <c r="G151" t="s">
        <v>413</v>
      </c>
      <c r="H151">
        <v>700</v>
      </c>
      <c r="I151">
        <v>2000</v>
      </c>
      <c r="J151">
        <v>9000</v>
      </c>
      <c r="K151">
        <v>2250</v>
      </c>
      <c r="L151">
        <v>6150</v>
      </c>
      <c r="M151">
        <v>2850</v>
      </c>
      <c r="N151" t="s">
        <v>66</v>
      </c>
    </row>
    <row r="152" spans="1:14">
      <c r="A152" t="s">
        <v>912</v>
      </c>
      <c r="B152" t="s">
        <v>637</v>
      </c>
      <c r="C152" t="s">
        <v>638</v>
      </c>
      <c r="D152">
        <v>119173109</v>
      </c>
      <c r="E152">
        <v>728845042</v>
      </c>
      <c r="F152">
        <v>7000</v>
      </c>
      <c r="G152" t="s">
        <v>412</v>
      </c>
      <c r="H152">
        <v>500</v>
      </c>
      <c r="I152">
        <v>3000</v>
      </c>
      <c r="J152">
        <v>10000</v>
      </c>
      <c r="K152">
        <v>1667</v>
      </c>
      <c r="L152">
        <v>6668</v>
      </c>
      <c r="M152">
        <v>3332</v>
      </c>
      <c r="N152" t="s">
        <v>66</v>
      </c>
    </row>
    <row r="153" spans="1:14">
      <c r="A153" s="98" t="s">
        <v>912</v>
      </c>
      <c r="B153" t="s">
        <v>155</v>
      </c>
      <c r="C153" t="s">
        <v>828</v>
      </c>
      <c r="D153">
        <v>720241837</v>
      </c>
      <c r="E153">
        <v>794326731</v>
      </c>
      <c r="F153">
        <v>10000</v>
      </c>
      <c r="G153" t="s">
        <v>413</v>
      </c>
      <c r="H153">
        <v>500</v>
      </c>
      <c r="I153">
        <v>2000</v>
      </c>
      <c r="J153">
        <v>12000</v>
      </c>
      <c r="K153">
        <v>3000</v>
      </c>
      <c r="L153">
        <v>12000</v>
      </c>
      <c r="M153">
        <v>0</v>
      </c>
      <c r="N153" t="s">
        <v>66</v>
      </c>
    </row>
    <row r="154" spans="1:14">
      <c r="A154" s="98" t="s">
        <v>912</v>
      </c>
      <c r="B154" t="s">
        <v>713</v>
      </c>
      <c r="C154" t="s">
        <v>714</v>
      </c>
      <c r="D154">
        <v>798632927</v>
      </c>
      <c r="E154">
        <v>720323599</v>
      </c>
      <c r="F154">
        <v>10000</v>
      </c>
      <c r="G154" t="s">
        <v>413</v>
      </c>
      <c r="H154">
        <v>500</v>
      </c>
      <c r="I154">
        <v>2000</v>
      </c>
      <c r="J154">
        <v>12000</v>
      </c>
      <c r="K154">
        <v>3000</v>
      </c>
      <c r="L154">
        <v>12000</v>
      </c>
      <c r="M154">
        <v>0</v>
      </c>
      <c r="N154" t="s">
        <v>66</v>
      </c>
    </row>
    <row r="155" spans="1:14">
      <c r="A155" t="s">
        <v>912</v>
      </c>
      <c r="B155" t="s">
        <v>34</v>
      </c>
      <c r="C155" t="s">
        <v>35</v>
      </c>
      <c r="D155">
        <v>721142486</v>
      </c>
      <c r="E155">
        <v>721794032</v>
      </c>
      <c r="F155">
        <v>30000</v>
      </c>
      <c r="G155" t="s">
        <v>412</v>
      </c>
      <c r="H155">
        <v>500</v>
      </c>
      <c r="I155">
        <v>10500</v>
      </c>
      <c r="J155">
        <v>40500</v>
      </c>
      <c r="K155">
        <v>6750</v>
      </c>
      <c r="L155">
        <v>27000</v>
      </c>
      <c r="M155">
        <v>13500</v>
      </c>
      <c r="N155" t="s">
        <v>657</v>
      </c>
    </row>
    <row r="156" spans="1:14">
      <c r="A156" t="s">
        <v>912</v>
      </c>
      <c r="B156" t="s">
        <v>153</v>
      </c>
      <c r="C156" t="s">
        <v>571</v>
      </c>
      <c r="D156">
        <v>724544938</v>
      </c>
      <c r="E156">
        <v>740441273</v>
      </c>
      <c r="F156">
        <v>10000</v>
      </c>
      <c r="G156" t="s">
        <v>412</v>
      </c>
      <c r="H156">
        <v>500</v>
      </c>
      <c r="I156">
        <v>3000</v>
      </c>
      <c r="J156">
        <v>13000</v>
      </c>
      <c r="K156">
        <v>2167</v>
      </c>
      <c r="L156">
        <v>8668</v>
      </c>
      <c r="M156">
        <v>4332</v>
      </c>
      <c r="N156" t="s">
        <v>43</v>
      </c>
    </row>
    <row r="157" spans="1:14">
      <c r="F157">
        <f>SUM(F2:F156)</f>
        <v>1418000</v>
      </c>
      <c r="H157">
        <f t="shared" ref="H157:M157" si="0">SUM(H2:H156)</f>
        <v>78700</v>
      </c>
      <c r="I157">
        <f t="shared" si="0"/>
        <v>434900</v>
      </c>
      <c r="J157">
        <f t="shared" si="0"/>
        <v>1852200</v>
      </c>
      <c r="K157">
        <f t="shared" si="0"/>
        <v>362282</v>
      </c>
      <c r="L157">
        <f t="shared" si="0"/>
        <v>1642934</v>
      </c>
      <c r="M157">
        <f t="shared" si="0"/>
        <v>212862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6"/>
  <sheetViews>
    <sheetView tabSelected="1" workbookViewId="0">
      <selection activeCell="G12" sqref="G12"/>
    </sheetView>
  </sheetViews>
  <sheetFormatPr defaultRowHeight="15"/>
  <cols>
    <col min="1" max="1" width="9.7109375" customWidth="1"/>
    <col min="2" max="2" width="15.5703125" customWidth="1"/>
    <col min="3" max="3" width="15.85546875" customWidth="1"/>
    <col min="4" max="4" width="11.42578125" customWidth="1"/>
    <col min="5" max="5" width="19.5703125" customWidth="1"/>
    <col min="6" max="6" width="14" customWidth="1"/>
    <col min="7" max="7" width="12" customWidth="1"/>
    <col min="8" max="8" width="7.7109375" customWidth="1"/>
    <col min="9" max="9" width="9.140625" customWidth="1"/>
    <col min="10" max="10" width="5.140625" customWidth="1"/>
  </cols>
  <sheetData>
    <row r="2" spans="1:16">
      <c r="A2" s="101" t="s">
        <v>880</v>
      </c>
      <c r="B2" s="101" t="s">
        <v>86</v>
      </c>
      <c r="C2" s="101">
        <v>708199244</v>
      </c>
      <c r="D2" s="101">
        <v>34585821</v>
      </c>
      <c r="E2" s="101" t="s">
        <v>779</v>
      </c>
      <c r="F2" s="101">
        <v>70509057</v>
      </c>
      <c r="G2" s="101">
        <v>28619243</v>
      </c>
      <c r="H2" s="101">
        <v>20000</v>
      </c>
      <c r="I2" s="101" t="s">
        <v>413</v>
      </c>
      <c r="J2" s="101">
        <v>500</v>
      </c>
      <c r="K2" s="101">
        <v>4000</v>
      </c>
      <c r="L2" s="101">
        <v>24000</v>
      </c>
      <c r="M2" s="101">
        <v>6000</v>
      </c>
      <c r="N2" s="101">
        <v>7000</v>
      </c>
      <c r="O2" s="101">
        <v>17000</v>
      </c>
      <c r="P2" s="101" t="s">
        <v>657</v>
      </c>
    </row>
    <row r="3" spans="1:16">
      <c r="A3" s="101" t="s">
        <v>880</v>
      </c>
      <c r="B3" s="101" t="s">
        <v>114</v>
      </c>
      <c r="C3" s="101">
        <v>742033906</v>
      </c>
      <c r="D3" s="101">
        <v>32536807</v>
      </c>
      <c r="E3" s="101" t="s">
        <v>115</v>
      </c>
      <c r="F3" s="101">
        <v>790412246</v>
      </c>
      <c r="G3" s="101">
        <v>33477371</v>
      </c>
      <c r="H3" s="101">
        <v>7000</v>
      </c>
      <c r="I3" s="101" t="s">
        <v>412</v>
      </c>
      <c r="J3" s="101">
        <v>500</v>
      </c>
      <c r="K3" s="101">
        <v>3000</v>
      </c>
      <c r="L3" s="101">
        <v>10000</v>
      </c>
      <c r="M3" s="101">
        <v>1667</v>
      </c>
      <c r="N3" s="101">
        <v>8335</v>
      </c>
      <c r="O3" s="101">
        <v>1665</v>
      </c>
      <c r="P3" s="101" t="s">
        <v>657</v>
      </c>
    </row>
    <row r="4" spans="1:16">
      <c r="A4" s="101" t="s">
        <v>887</v>
      </c>
      <c r="B4" s="101" t="s">
        <v>139</v>
      </c>
      <c r="C4" s="101">
        <v>701483016</v>
      </c>
      <c r="D4" s="101">
        <v>20360106</v>
      </c>
      <c r="E4" s="101" t="s">
        <v>888</v>
      </c>
      <c r="F4" s="101">
        <v>719699112</v>
      </c>
      <c r="G4" s="101">
        <v>160469172</v>
      </c>
      <c r="H4" s="101">
        <v>8000</v>
      </c>
      <c r="I4" s="101" t="s">
        <v>412</v>
      </c>
      <c r="J4" s="101">
        <v>500</v>
      </c>
      <c r="K4" s="101">
        <v>3000</v>
      </c>
      <c r="L4" s="101">
        <v>11000</v>
      </c>
      <c r="M4" s="101">
        <v>1834</v>
      </c>
      <c r="N4" s="101">
        <v>9170</v>
      </c>
      <c r="O4" s="101">
        <v>1830</v>
      </c>
      <c r="P4" s="101" t="s">
        <v>657</v>
      </c>
    </row>
    <row r="5" spans="1:16">
      <c r="A5" s="101" t="s">
        <v>887</v>
      </c>
      <c r="B5" s="101" t="s">
        <v>894</v>
      </c>
      <c r="C5" s="101">
        <v>757601818</v>
      </c>
      <c r="D5" s="101"/>
      <c r="E5" s="101" t="s">
        <v>800</v>
      </c>
      <c r="F5" s="101">
        <v>76227036</v>
      </c>
      <c r="G5" s="101">
        <v>24789825</v>
      </c>
      <c r="H5" s="101">
        <v>7000</v>
      </c>
      <c r="I5" s="101" t="s">
        <v>412</v>
      </c>
      <c r="J5" s="101">
        <v>500</v>
      </c>
      <c r="K5" s="101">
        <v>3000</v>
      </c>
      <c r="L5" s="101">
        <v>10000</v>
      </c>
      <c r="M5" s="101">
        <v>1667</v>
      </c>
      <c r="N5" s="101">
        <v>0</v>
      </c>
      <c r="O5" s="101">
        <v>10000</v>
      </c>
      <c r="P5" s="101" t="s">
        <v>657</v>
      </c>
    </row>
    <row r="6" spans="1:16">
      <c r="A6" s="101" t="s">
        <v>887</v>
      </c>
      <c r="B6" s="101" t="s">
        <v>890</v>
      </c>
      <c r="C6" s="101">
        <v>706535129</v>
      </c>
      <c r="D6" s="101"/>
      <c r="E6" s="101" t="s">
        <v>892</v>
      </c>
      <c r="F6" s="101">
        <v>746332140</v>
      </c>
      <c r="G6" s="101">
        <v>1033936</v>
      </c>
      <c r="H6" s="101">
        <v>7000</v>
      </c>
      <c r="I6" s="101" t="s">
        <v>412</v>
      </c>
      <c r="J6" s="101">
        <v>500</v>
      </c>
      <c r="K6" s="101">
        <v>3000</v>
      </c>
      <c r="L6" s="101">
        <v>10000</v>
      </c>
      <c r="M6" s="101">
        <v>1667</v>
      </c>
      <c r="N6" s="101">
        <v>8335</v>
      </c>
      <c r="O6" s="101">
        <v>1665</v>
      </c>
      <c r="P6" s="101" t="s">
        <v>814</v>
      </c>
    </row>
    <row r="7" spans="1:16">
      <c r="A7" s="101" t="s">
        <v>887</v>
      </c>
      <c r="B7" s="101" t="s">
        <v>891</v>
      </c>
      <c r="C7" s="101">
        <v>115563126</v>
      </c>
      <c r="D7" s="101"/>
      <c r="E7" s="101" t="s">
        <v>893</v>
      </c>
      <c r="F7" s="101">
        <v>722337146</v>
      </c>
      <c r="G7" s="101">
        <v>4668162</v>
      </c>
      <c r="H7" s="101">
        <v>7000</v>
      </c>
      <c r="I7" s="101" t="s">
        <v>412</v>
      </c>
      <c r="J7" s="101">
        <v>500</v>
      </c>
      <c r="K7" s="101">
        <v>3000</v>
      </c>
      <c r="L7" s="101">
        <v>10000</v>
      </c>
      <c r="M7" s="101">
        <v>1667</v>
      </c>
      <c r="N7" s="101">
        <v>8335</v>
      </c>
      <c r="O7" s="101">
        <v>1665</v>
      </c>
      <c r="P7" s="101" t="s">
        <v>814</v>
      </c>
    </row>
    <row r="8" spans="1:16">
      <c r="A8" s="101" t="s">
        <v>887</v>
      </c>
      <c r="B8" s="101" t="s">
        <v>895</v>
      </c>
      <c r="C8" s="101">
        <v>114744475</v>
      </c>
      <c r="D8" s="101"/>
      <c r="E8" s="101" t="s">
        <v>896</v>
      </c>
      <c r="F8" s="101">
        <v>744652580</v>
      </c>
      <c r="G8" s="101"/>
      <c r="H8" s="101">
        <v>7000</v>
      </c>
      <c r="I8" s="101" t="s">
        <v>412</v>
      </c>
      <c r="J8" s="101">
        <v>500</v>
      </c>
      <c r="K8" s="101">
        <v>3000</v>
      </c>
      <c r="L8" s="101">
        <v>10000</v>
      </c>
      <c r="M8" s="101">
        <v>1667</v>
      </c>
      <c r="N8" s="101">
        <v>0</v>
      </c>
      <c r="O8" s="101">
        <v>10000</v>
      </c>
      <c r="P8" s="101" t="s">
        <v>657</v>
      </c>
    </row>
    <row r="9" spans="1:16">
      <c r="A9" s="101" t="s">
        <v>898</v>
      </c>
      <c r="B9" s="101" t="s">
        <v>127</v>
      </c>
      <c r="C9" s="101">
        <v>724024611</v>
      </c>
      <c r="D9" s="101"/>
      <c r="E9" s="101" t="s">
        <v>572</v>
      </c>
      <c r="F9" s="101">
        <v>795493127</v>
      </c>
      <c r="G9" s="101">
        <v>27294159</v>
      </c>
      <c r="H9" s="101">
        <v>10000</v>
      </c>
      <c r="I9" s="101" t="s">
        <v>412</v>
      </c>
      <c r="J9" s="101">
        <v>500</v>
      </c>
      <c r="K9" s="101">
        <v>3000</v>
      </c>
      <c r="L9" s="101">
        <v>13000</v>
      </c>
      <c r="M9" s="101">
        <v>2167</v>
      </c>
      <c r="N9" s="101">
        <v>10835</v>
      </c>
      <c r="O9" s="101">
        <v>2165</v>
      </c>
      <c r="P9" s="101" t="s">
        <v>43</v>
      </c>
    </row>
    <row r="10" spans="1:16">
      <c r="A10" s="101" t="s">
        <v>898</v>
      </c>
      <c r="B10" s="101" t="s">
        <v>514</v>
      </c>
      <c r="C10" s="101">
        <v>790082214</v>
      </c>
      <c r="D10" s="101"/>
      <c r="E10" s="101" t="s">
        <v>757</v>
      </c>
      <c r="F10" s="101">
        <v>712258783</v>
      </c>
      <c r="G10" s="101">
        <v>42952535</v>
      </c>
      <c r="H10" s="101">
        <v>9000</v>
      </c>
      <c r="I10" s="101" t="s">
        <v>412</v>
      </c>
      <c r="J10" s="101">
        <v>500</v>
      </c>
      <c r="K10" s="101">
        <v>3000</v>
      </c>
      <c r="L10" s="101">
        <v>12000</v>
      </c>
      <c r="M10" s="101">
        <v>2000</v>
      </c>
      <c r="N10" s="101">
        <v>5900</v>
      </c>
      <c r="O10" s="101">
        <v>6100</v>
      </c>
      <c r="P10" s="101" t="s">
        <v>66</v>
      </c>
    </row>
    <row r="11" spans="1:16">
      <c r="A11" s="101" t="s">
        <v>899</v>
      </c>
      <c r="B11" s="101" t="s">
        <v>900</v>
      </c>
      <c r="C11" s="101">
        <v>700041662</v>
      </c>
      <c r="D11" s="101">
        <v>39703867</v>
      </c>
      <c r="E11" s="101" t="s">
        <v>901</v>
      </c>
      <c r="F11" s="101">
        <v>721778601</v>
      </c>
      <c r="G11" s="101">
        <v>27684961</v>
      </c>
      <c r="H11" s="101">
        <v>7000</v>
      </c>
      <c r="I11" s="101" t="s">
        <v>412</v>
      </c>
      <c r="J11" s="101">
        <v>700</v>
      </c>
      <c r="K11" s="101">
        <v>3000</v>
      </c>
      <c r="L11" s="101">
        <v>10000</v>
      </c>
      <c r="M11" s="101">
        <v>1667</v>
      </c>
      <c r="N11" s="101">
        <v>8335</v>
      </c>
      <c r="O11" s="101">
        <v>1665</v>
      </c>
      <c r="P11" s="101" t="s">
        <v>66</v>
      </c>
    </row>
    <row r="12" spans="1:16">
      <c r="A12" s="101" t="s">
        <v>902</v>
      </c>
      <c r="B12" s="101" t="s">
        <v>903</v>
      </c>
      <c r="C12" s="101">
        <v>726784976</v>
      </c>
      <c r="D12" s="101"/>
      <c r="E12" s="101" t="s">
        <v>904</v>
      </c>
      <c r="F12" s="101">
        <v>711962072</v>
      </c>
      <c r="G12" s="101"/>
      <c r="H12" s="101">
        <v>7000</v>
      </c>
      <c r="I12" s="101" t="s">
        <v>412</v>
      </c>
      <c r="J12" s="101">
        <v>700</v>
      </c>
      <c r="K12" s="101">
        <v>3000</v>
      </c>
      <c r="L12" s="101">
        <v>10000</v>
      </c>
      <c r="M12" s="101">
        <v>1667</v>
      </c>
      <c r="N12" s="101">
        <v>0</v>
      </c>
      <c r="O12" s="101">
        <v>10000</v>
      </c>
      <c r="P12" s="101" t="s">
        <v>657</v>
      </c>
    </row>
    <row r="13" spans="1:16">
      <c r="A13" s="101" t="s">
        <v>902</v>
      </c>
      <c r="B13" s="101" t="s">
        <v>905</v>
      </c>
      <c r="C13" s="101">
        <v>745242789</v>
      </c>
      <c r="D13" s="101">
        <v>20814330</v>
      </c>
      <c r="E13" s="101" t="s">
        <v>910</v>
      </c>
      <c r="F13" s="101">
        <v>795884457</v>
      </c>
      <c r="G13" s="101">
        <v>27882067</v>
      </c>
      <c r="H13" s="101">
        <v>10000</v>
      </c>
      <c r="I13" s="101" t="s">
        <v>558</v>
      </c>
      <c r="J13" s="101">
        <v>700</v>
      </c>
      <c r="K13" s="101">
        <v>3000</v>
      </c>
      <c r="L13" s="101">
        <v>13000</v>
      </c>
      <c r="M13" s="101">
        <v>2167</v>
      </c>
      <c r="N13" s="101">
        <v>10728</v>
      </c>
      <c r="O13" s="101">
        <v>2272</v>
      </c>
      <c r="P13" s="101" t="s">
        <v>66</v>
      </c>
    </row>
    <row r="14" spans="1:16">
      <c r="A14" s="101" t="s">
        <v>902</v>
      </c>
      <c r="B14" s="101" t="s">
        <v>540</v>
      </c>
      <c r="C14" s="101">
        <v>758991413</v>
      </c>
      <c r="D14" s="101"/>
      <c r="E14" s="101" t="s">
        <v>710</v>
      </c>
      <c r="F14" s="101">
        <v>752560980</v>
      </c>
      <c r="G14" s="101">
        <v>25332821</v>
      </c>
      <c r="H14" s="101">
        <v>7000</v>
      </c>
      <c r="I14" s="101" t="s">
        <v>412</v>
      </c>
      <c r="J14" s="101">
        <v>500</v>
      </c>
      <c r="K14" s="101">
        <v>3000</v>
      </c>
      <c r="L14" s="101">
        <v>10000</v>
      </c>
      <c r="M14" s="101">
        <v>1667</v>
      </c>
      <c r="N14" s="101">
        <v>5001</v>
      </c>
      <c r="O14" s="101">
        <v>4999</v>
      </c>
      <c r="P14" s="101" t="s">
        <v>657</v>
      </c>
    </row>
    <row r="15" spans="1:16">
      <c r="A15" s="101" t="s">
        <v>902</v>
      </c>
      <c r="B15" s="101" t="s">
        <v>609</v>
      </c>
      <c r="C15" s="101">
        <v>707492014</v>
      </c>
      <c r="D15" s="101">
        <v>3439701</v>
      </c>
      <c r="E15" s="101" t="s">
        <v>292</v>
      </c>
      <c r="F15" s="101">
        <v>720311445</v>
      </c>
      <c r="G15" s="101">
        <v>46722331</v>
      </c>
      <c r="H15" s="101">
        <v>8000</v>
      </c>
      <c r="I15" s="101" t="s">
        <v>412</v>
      </c>
      <c r="J15" s="101">
        <v>500</v>
      </c>
      <c r="K15" s="101">
        <v>3000</v>
      </c>
      <c r="L15" s="101">
        <v>11000</v>
      </c>
      <c r="M15" s="101">
        <v>1834</v>
      </c>
      <c r="N15" s="101">
        <v>7337</v>
      </c>
      <c r="O15" s="101">
        <v>3663</v>
      </c>
      <c r="P15" s="101" t="s">
        <v>657</v>
      </c>
    </row>
    <row r="16" spans="1:16">
      <c r="A16" s="101" t="s">
        <v>902</v>
      </c>
      <c r="B16" s="101" t="s">
        <v>735</v>
      </c>
      <c r="C16" s="101">
        <v>723519085</v>
      </c>
      <c r="D16" s="101">
        <v>11896471</v>
      </c>
      <c r="E16" s="101" t="s">
        <v>736</v>
      </c>
      <c r="F16" s="101">
        <v>712989540</v>
      </c>
      <c r="G16" s="101">
        <v>21514623</v>
      </c>
      <c r="H16" s="101">
        <v>10000</v>
      </c>
      <c r="I16" s="101" t="s">
        <v>412</v>
      </c>
      <c r="J16" s="101">
        <v>500</v>
      </c>
      <c r="K16" s="101">
        <v>3000</v>
      </c>
      <c r="L16" s="101">
        <v>13000</v>
      </c>
      <c r="M16" s="101">
        <v>2167</v>
      </c>
      <c r="N16" s="101">
        <v>10835</v>
      </c>
      <c r="O16" s="101">
        <v>2165</v>
      </c>
      <c r="P16" s="101" t="s">
        <v>66</v>
      </c>
    </row>
    <row r="17" spans="1:16">
      <c r="A17" s="101" t="s">
        <v>907</v>
      </c>
      <c r="B17" s="101" t="s">
        <v>906</v>
      </c>
      <c r="C17" s="101">
        <v>710711406</v>
      </c>
      <c r="D17" s="101"/>
      <c r="E17" s="101" t="s">
        <v>908</v>
      </c>
      <c r="F17" s="101">
        <v>757956212</v>
      </c>
      <c r="G17" s="101">
        <v>30702119</v>
      </c>
      <c r="H17" s="101">
        <v>7000</v>
      </c>
      <c r="I17" s="101" t="s">
        <v>412</v>
      </c>
      <c r="J17" s="101">
        <v>700</v>
      </c>
      <c r="K17" s="101">
        <v>3000</v>
      </c>
      <c r="L17" s="101">
        <v>10000</v>
      </c>
      <c r="M17" s="101">
        <v>1667</v>
      </c>
      <c r="N17" s="101">
        <v>5832</v>
      </c>
      <c r="O17" s="101">
        <v>4168</v>
      </c>
      <c r="P17" s="101" t="s">
        <v>43</v>
      </c>
    </row>
    <row r="18" spans="1:16">
      <c r="A18" s="101" t="s">
        <v>907</v>
      </c>
      <c r="B18" s="101" t="s">
        <v>909</v>
      </c>
      <c r="C18" s="101">
        <v>724712026</v>
      </c>
      <c r="D18" s="101">
        <v>23504299</v>
      </c>
      <c r="E18" s="101" t="s">
        <v>749</v>
      </c>
      <c r="F18" s="101">
        <v>746563025</v>
      </c>
      <c r="G18" s="101">
        <v>35148252</v>
      </c>
      <c r="H18" s="101">
        <v>14000</v>
      </c>
      <c r="I18" s="101" t="s">
        <v>412</v>
      </c>
      <c r="J18" s="101">
        <v>500</v>
      </c>
      <c r="K18" s="101">
        <v>4200</v>
      </c>
      <c r="L18" s="101">
        <v>18200</v>
      </c>
      <c r="M18" s="101">
        <v>3034</v>
      </c>
      <c r="N18" s="101">
        <v>15170</v>
      </c>
      <c r="O18" s="101">
        <v>3030</v>
      </c>
      <c r="P18" s="101" t="s">
        <v>657</v>
      </c>
    </row>
    <row r="19" spans="1:16">
      <c r="A19" s="100" t="s">
        <v>907</v>
      </c>
      <c r="B19" s="101" t="s">
        <v>915</v>
      </c>
      <c r="C19" s="101">
        <v>740364099</v>
      </c>
      <c r="D19" s="101"/>
      <c r="E19" s="101" t="s">
        <v>911</v>
      </c>
      <c r="F19" s="101">
        <v>1133391643</v>
      </c>
      <c r="G19" s="101">
        <v>42913894</v>
      </c>
      <c r="H19" s="101">
        <v>7000</v>
      </c>
      <c r="I19" s="101" t="s">
        <v>412</v>
      </c>
      <c r="J19" s="101">
        <v>700</v>
      </c>
      <c r="K19" s="101">
        <v>3000</v>
      </c>
      <c r="L19" s="101">
        <v>10000</v>
      </c>
      <c r="M19" s="101">
        <v>1667</v>
      </c>
      <c r="N19" s="101">
        <v>8335</v>
      </c>
      <c r="O19" s="101">
        <v>1665</v>
      </c>
      <c r="P19" s="101" t="s">
        <v>814</v>
      </c>
    </row>
    <row r="20" spans="1:16">
      <c r="A20" s="101" t="s">
        <v>912</v>
      </c>
      <c r="B20" s="101" t="s">
        <v>793</v>
      </c>
      <c r="C20" s="101">
        <v>724701702</v>
      </c>
      <c r="D20" s="101"/>
      <c r="E20" s="101" t="s">
        <v>794</v>
      </c>
      <c r="F20" s="101">
        <v>710576285</v>
      </c>
      <c r="G20" s="101">
        <v>26579611</v>
      </c>
      <c r="H20" s="101">
        <v>12000</v>
      </c>
      <c r="I20" s="101" t="s">
        <v>412</v>
      </c>
      <c r="J20" s="101">
        <v>500</v>
      </c>
      <c r="K20" s="101">
        <v>3600</v>
      </c>
      <c r="L20" s="101">
        <v>15600</v>
      </c>
      <c r="M20" s="101">
        <v>2600</v>
      </c>
      <c r="N20" s="101">
        <v>10400</v>
      </c>
      <c r="O20" s="101">
        <v>5200</v>
      </c>
      <c r="P20" s="101" t="s">
        <v>657</v>
      </c>
    </row>
    <row r="21" spans="1:16">
      <c r="A21" s="100" t="s">
        <v>912</v>
      </c>
      <c r="B21" s="101" t="s">
        <v>672</v>
      </c>
      <c r="C21" s="101">
        <v>794400120</v>
      </c>
      <c r="D21" s="101"/>
      <c r="E21" s="101" t="s">
        <v>822</v>
      </c>
      <c r="F21" s="101">
        <v>7200886677</v>
      </c>
      <c r="G21" s="101">
        <v>28512556</v>
      </c>
      <c r="H21" s="101">
        <v>7000</v>
      </c>
      <c r="I21" s="101" t="s">
        <v>412</v>
      </c>
      <c r="J21" s="101">
        <v>500</v>
      </c>
      <c r="K21" s="101">
        <v>3000</v>
      </c>
      <c r="L21" s="101">
        <v>10000</v>
      </c>
      <c r="M21" s="101">
        <v>1667</v>
      </c>
      <c r="N21" s="101">
        <v>5001</v>
      </c>
      <c r="O21" s="101">
        <v>4999</v>
      </c>
      <c r="P21" s="101" t="s">
        <v>814</v>
      </c>
    </row>
    <row r="22" spans="1:16">
      <c r="A22" s="101" t="s">
        <v>912</v>
      </c>
      <c r="B22" s="101" t="s">
        <v>637</v>
      </c>
      <c r="C22" s="101">
        <v>119173109</v>
      </c>
      <c r="D22" s="101"/>
      <c r="E22" s="101" t="s">
        <v>638</v>
      </c>
      <c r="F22" s="101">
        <v>728845042</v>
      </c>
      <c r="G22" s="101">
        <v>28295153</v>
      </c>
      <c r="H22" s="101">
        <v>7000</v>
      </c>
      <c r="I22" s="101" t="s">
        <v>412</v>
      </c>
      <c r="J22" s="101">
        <v>500</v>
      </c>
      <c r="K22" s="101">
        <v>3000</v>
      </c>
      <c r="L22" s="101">
        <v>10000</v>
      </c>
      <c r="M22" s="101">
        <v>1667</v>
      </c>
      <c r="N22" s="101">
        <v>6668</v>
      </c>
      <c r="O22" s="101">
        <v>3332</v>
      </c>
      <c r="P22" s="101" t="s">
        <v>66</v>
      </c>
    </row>
    <row r="23" spans="1:16">
      <c r="A23" s="101" t="s">
        <v>912</v>
      </c>
      <c r="B23" s="101" t="s">
        <v>34</v>
      </c>
      <c r="C23" s="101">
        <v>721142486</v>
      </c>
      <c r="D23" s="101"/>
      <c r="E23" s="101" t="s">
        <v>35</v>
      </c>
      <c r="F23" s="101">
        <v>721794032</v>
      </c>
      <c r="G23" s="101">
        <v>23048858</v>
      </c>
      <c r="H23" s="101">
        <v>30000</v>
      </c>
      <c r="I23" s="101" t="s">
        <v>412</v>
      </c>
      <c r="J23" s="101">
        <v>500</v>
      </c>
      <c r="K23" s="101">
        <v>10500</v>
      </c>
      <c r="L23" s="101">
        <v>40500</v>
      </c>
      <c r="M23" s="101">
        <v>6750</v>
      </c>
      <c r="N23" s="101">
        <v>27000</v>
      </c>
      <c r="O23" s="101">
        <v>13500</v>
      </c>
      <c r="P23" s="101" t="s">
        <v>657</v>
      </c>
    </row>
    <row r="24" spans="1:16">
      <c r="A24" s="101" t="s">
        <v>912</v>
      </c>
      <c r="B24" s="101" t="s">
        <v>153</v>
      </c>
      <c r="C24" s="101">
        <v>724544938</v>
      </c>
      <c r="D24" s="101"/>
      <c r="E24" s="101" t="s">
        <v>571</v>
      </c>
      <c r="F24" s="101">
        <v>740441273</v>
      </c>
      <c r="G24" s="101">
        <v>32594819</v>
      </c>
      <c r="H24" s="101">
        <v>10000</v>
      </c>
      <c r="I24" s="101" t="s">
        <v>412</v>
      </c>
      <c r="J24" s="101">
        <v>500</v>
      </c>
      <c r="K24" s="101">
        <v>3000</v>
      </c>
      <c r="L24" s="101">
        <v>13000</v>
      </c>
      <c r="M24" s="101">
        <v>2167</v>
      </c>
      <c r="N24" s="101">
        <v>8668</v>
      </c>
      <c r="O24" s="101">
        <v>4332</v>
      </c>
      <c r="P24" s="101" t="s">
        <v>43</v>
      </c>
    </row>
    <row r="25" spans="1:16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</row>
    <row r="26" spans="1:16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4" sqref="H23:H24"/>
    </sheetView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2026-08-21T01:47:40Z</cp:lastPrinted>
  <dcterms:created xsi:type="dcterms:W3CDTF">2026-05-12T19:59:48Z</dcterms:created>
  <dcterms:modified xsi:type="dcterms:W3CDTF">2026-10-06T09:27:15Z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