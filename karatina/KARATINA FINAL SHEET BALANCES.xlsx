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86F2D15-9506-4C72-BEC3-D7A7A4584FC0}" xr6:coauthVersionLast="47" xr6:coauthVersionMax="47" xr10:uidLastSave="{00000000-0000-0000-0000-000000000000}"/>
  <bookViews>
    <workbookView xWindow="-120" yWindow="-120" windowWidth="15600" windowHeight="11040" activeTab="1" xr2:uid="{00000000-000D-0000-FFFF-FFFF00000000}"/>
  </bookViews>
  <sheets>
    <sheet name="Sheet1" sheetId="1" r:id="rId1"/>
    <sheet name="FINAL LIST" sheetId="2" r:id="rId2"/>
  </sheets>
  <definedNames>
    <definedName name="PATRICIA_WAMUYU">'FINAL LIST'!#REF!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" i="1" l="1"/>
  <c r="K55" i="1"/>
  <c r="L55" i="1" s="1"/>
  <c r="K54" i="1"/>
  <c r="L54" i="1" s="1"/>
  <c r="K53" i="1"/>
  <c r="L53" i="1" s="1"/>
  <c r="K52" i="1"/>
  <c r="L52" i="1" s="1"/>
  <c r="K51" i="1"/>
  <c r="L51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<sst xmlns="http://schemas.openxmlformats.org/spreadsheetml/2006/main" count="1304" uniqueCount="648">
  <si>
    <t>NO.</t>
  </si>
  <si>
    <t>DATE</t>
  </si>
  <si>
    <t>CLIENT'S NAME</t>
  </si>
  <si>
    <t>CLIENT'S NUMBER</t>
  </si>
  <si>
    <t>CLIENTS ID.NO</t>
  </si>
  <si>
    <t>GUARANTOR'S NAME</t>
  </si>
  <si>
    <t>GUARANTOR'S NO.</t>
  </si>
  <si>
    <t>GUARANTORS ID</t>
  </si>
  <si>
    <t>LOAN PERIOD</t>
  </si>
  <si>
    <t>PRINCIPAL AMOUNT</t>
  </si>
  <si>
    <t>INTEREST</t>
  </si>
  <si>
    <t>INSTALLMENTS</t>
  </si>
  <si>
    <t>L.O.B</t>
  </si>
  <si>
    <t>Priscillah Nyambura Mutonya</t>
  </si>
  <si>
    <t>0715885492</t>
  </si>
  <si>
    <t>25467679</t>
  </si>
  <si>
    <t>Hannah Wairimu Githinji</t>
  </si>
  <si>
    <t>0707572433</t>
  </si>
  <si>
    <t>27189157</t>
  </si>
  <si>
    <t>6 Weeks</t>
  </si>
  <si>
    <t>CLEARED</t>
  </si>
  <si>
    <t>Ann</t>
  </si>
  <si>
    <t>Teresa Wanjiku Nyaguthii</t>
  </si>
  <si>
    <t>0716872853</t>
  </si>
  <si>
    <t>21791345</t>
  </si>
  <si>
    <t>Jane Njeri Wanjiku</t>
  </si>
  <si>
    <t>0727142888</t>
  </si>
  <si>
    <t>42233463</t>
  </si>
  <si>
    <t>4 Weeks</t>
  </si>
  <si>
    <t>Martha Wambui Mwangi</t>
  </si>
  <si>
    <t>0713404733</t>
  </si>
  <si>
    <t>21496227</t>
  </si>
  <si>
    <t>Victor Kuria Mwangi</t>
  </si>
  <si>
    <t>0769821355</t>
  </si>
  <si>
    <t>36490785</t>
  </si>
  <si>
    <t>4 weeks</t>
  </si>
  <si>
    <t>Mose Bahati Bevlyne</t>
  </si>
  <si>
    <t>0711670920</t>
  </si>
  <si>
    <t>32739955</t>
  </si>
  <si>
    <t>Evans Mogoah Nyaega</t>
  </si>
  <si>
    <t>0715909749</t>
  </si>
  <si>
    <t>30824402</t>
  </si>
  <si>
    <t>Abigael Gichemba Noah</t>
  </si>
  <si>
    <t>0746130036</t>
  </si>
  <si>
    <t>32798367</t>
  </si>
  <si>
    <t>John Kanini Nyaga</t>
  </si>
  <si>
    <t>0702014098</t>
  </si>
  <si>
    <t>26654076</t>
  </si>
  <si>
    <t>Mirriam Wanjiku Gitonga</t>
  </si>
  <si>
    <t>0725714984</t>
  </si>
  <si>
    <t>20196938</t>
  </si>
  <si>
    <t xml:space="preserve">Regina Wangari Mwangi </t>
  </si>
  <si>
    <t>0742754722</t>
  </si>
  <si>
    <t>23459786</t>
  </si>
  <si>
    <t>Milka</t>
  </si>
  <si>
    <t>Samuel Kahura Kabiro</t>
  </si>
  <si>
    <t>0725940977</t>
  </si>
  <si>
    <t>20473278</t>
  </si>
  <si>
    <t>Isaac Njogu Muiruri</t>
  </si>
  <si>
    <t>0717537152</t>
  </si>
  <si>
    <t>27522952</t>
  </si>
  <si>
    <t>Paul Kariuki Wangaru</t>
  </si>
  <si>
    <t>0741724262</t>
  </si>
  <si>
    <t>13882897</t>
  </si>
  <si>
    <t>Michael Ndungu Kimani</t>
  </si>
  <si>
    <t>0725946628</t>
  </si>
  <si>
    <t>13559323</t>
  </si>
  <si>
    <t>Francis Waweru Wang'ombe</t>
  </si>
  <si>
    <t>0721179725</t>
  </si>
  <si>
    <t>33439693</t>
  </si>
  <si>
    <t>Isaac Kangau Muthee</t>
  </si>
  <si>
    <t>0745878870</t>
  </si>
  <si>
    <t>33335310</t>
  </si>
  <si>
    <t>Josphine Wanjiru Mbae</t>
  </si>
  <si>
    <t>0706414682</t>
  </si>
  <si>
    <t>9504030</t>
  </si>
  <si>
    <t>John Mbae Kimani</t>
  </si>
  <si>
    <t>0713865645</t>
  </si>
  <si>
    <t>5751224</t>
  </si>
  <si>
    <t>Everlyne Atieno Ochieng</t>
  </si>
  <si>
    <t>0706200790</t>
  </si>
  <si>
    <t>315103</t>
  </si>
  <si>
    <t>Beatrice Akinyi Ombija</t>
  </si>
  <si>
    <t>0713537118</t>
  </si>
  <si>
    <t>40694586</t>
  </si>
  <si>
    <t>0119675041</t>
  </si>
  <si>
    <t>Ann Njoki Njanja</t>
  </si>
  <si>
    <t>0798733681</t>
  </si>
  <si>
    <t>36160319</t>
  </si>
  <si>
    <r>
      <rPr>
        <sz val="11"/>
        <color rgb="FF000000"/>
        <rFont val="Aptos Narrow"/>
      </rPr>
      <t>Sera Wanjiku Mwang</t>
    </r>
    <r>
      <rPr>
        <sz val="11"/>
        <color rgb="FFFF0000"/>
        <rFont val="Calibri"/>
        <family val="2"/>
      </rPr>
      <t>i</t>
    </r>
  </si>
  <si>
    <t>0715072434</t>
  </si>
  <si>
    <t>11729390</t>
  </si>
  <si>
    <t xml:space="preserve">Philip Muriithi Mwangi </t>
  </si>
  <si>
    <t>0715025272</t>
  </si>
  <si>
    <t>1143091</t>
  </si>
  <si>
    <t>Teresiah Wanjiru Kanyi</t>
  </si>
  <si>
    <t>0729296712</t>
  </si>
  <si>
    <t>2950435</t>
  </si>
  <si>
    <t>Eneta Wambui Mwaniki</t>
  </si>
  <si>
    <t>0797064929</t>
  </si>
  <si>
    <t>25751645</t>
  </si>
  <si>
    <t>Simon Kinyanjui Nguhi</t>
  </si>
  <si>
    <t>0741304619</t>
  </si>
  <si>
    <t>27052355</t>
  </si>
  <si>
    <t>Isaac Mbae Nyoro</t>
  </si>
  <si>
    <t>0731818745</t>
  </si>
  <si>
    <t>25203845</t>
  </si>
  <si>
    <t>Evalyne Mugure Mwaura</t>
  </si>
  <si>
    <t>0713068523</t>
  </si>
  <si>
    <t>41394930</t>
  </si>
  <si>
    <t>Agnes Wambui Kamau</t>
  </si>
  <si>
    <t>0727050349</t>
  </si>
  <si>
    <t>11535057</t>
  </si>
  <si>
    <t>John Musyoka Kamene</t>
  </si>
  <si>
    <t>0707420132</t>
  </si>
  <si>
    <t>28726796</t>
  </si>
  <si>
    <t>Ann Wambui Nyambura</t>
  </si>
  <si>
    <t>0748413174</t>
  </si>
  <si>
    <t>23795806</t>
  </si>
  <si>
    <t>Sarah Muthoni Wanjiru</t>
  </si>
  <si>
    <t>0795042054</t>
  </si>
  <si>
    <t>27774973</t>
  </si>
  <si>
    <t>Pauline Ngubia Waweru</t>
  </si>
  <si>
    <t>0742794403</t>
  </si>
  <si>
    <t>24360071</t>
  </si>
  <si>
    <t>Margaret Moraa Kirera</t>
  </si>
  <si>
    <t>0728843845</t>
  </si>
  <si>
    <t>21143242</t>
  </si>
  <si>
    <t>Margaret Mwithaki Kimani</t>
  </si>
  <si>
    <t>0792373496</t>
  </si>
  <si>
    <t>33807228</t>
  </si>
  <si>
    <t>Ambrosia Wanja Mwangi</t>
  </si>
  <si>
    <t>0721422565</t>
  </si>
  <si>
    <t>11082073</t>
  </si>
  <si>
    <t>Catherine Njeri Monyo</t>
  </si>
  <si>
    <t>0769638347</t>
  </si>
  <si>
    <t>35075944</t>
  </si>
  <si>
    <t>Mary Njeri Kimani</t>
  </si>
  <si>
    <t>0710807679</t>
  </si>
  <si>
    <t>25221358</t>
  </si>
  <si>
    <t>Beth Wambui Kihiko</t>
  </si>
  <si>
    <t>0796478898</t>
  </si>
  <si>
    <t>42273689</t>
  </si>
  <si>
    <t>Susan Wambui Matu</t>
  </si>
  <si>
    <t>0715155936</t>
  </si>
  <si>
    <t>26214022</t>
  </si>
  <si>
    <t>Wambui Beth Wangari</t>
  </si>
  <si>
    <t>0700483702</t>
  </si>
  <si>
    <t>414846882</t>
  </si>
  <si>
    <r>
      <t xml:space="preserve">Teresa Wanjiku Nyaguthii </t>
    </r>
    <r>
      <rPr>
        <b/>
        <sz val="12"/>
        <color rgb="FF00B0F0"/>
        <rFont val="Aptos Narrow"/>
        <family val="2"/>
        <scheme val="minor"/>
      </rPr>
      <t>(REPEAT)</t>
    </r>
  </si>
  <si>
    <t xml:space="preserve">Tabitha Wangari Ndiro </t>
  </si>
  <si>
    <t>0794080835</t>
  </si>
  <si>
    <t>39262726</t>
  </si>
  <si>
    <t>Esther Nyakiri Chege</t>
  </si>
  <si>
    <t>0743958657</t>
  </si>
  <si>
    <t>24573957</t>
  </si>
  <si>
    <t>6 weeks</t>
  </si>
  <si>
    <t>Rahab Wanjiku Kimani</t>
  </si>
  <si>
    <t>0704919175</t>
  </si>
  <si>
    <t>5751111</t>
  </si>
  <si>
    <t>Simon Nganga Kariuki</t>
  </si>
  <si>
    <t>0712731304</t>
  </si>
  <si>
    <t>38823878</t>
  </si>
  <si>
    <t>Margaret Nyambura Mugekenyi</t>
  </si>
  <si>
    <t>0113017122</t>
  </si>
  <si>
    <t>24034006</t>
  </si>
  <si>
    <t>Esther Muthoni Mwaura</t>
  </si>
  <si>
    <t>0704888492</t>
  </si>
  <si>
    <t>27593134</t>
  </si>
  <si>
    <t>Evalyne Wanjiru Gichuhi</t>
  </si>
  <si>
    <t>0727633627</t>
  </si>
  <si>
    <t>28599488</t>
  </si>
  <si>
    <t>Mary Wangari Mwangi</t>
  </si>
  <si>
    <t>0115931777</t>
  </si>
  <si>
    <t>35210930</t>
  </si>
  <si>
    <t>Patrick Mathenge Wachira</t>
  </si>
  <si>
    <t>0743201965</t>
  </si>
  <si>
    <t>13212667</t>
  </si>
  <si>
    <t>Paul Ng'ang'a Gichuhi</t>
  </si>
  <si>
    <t>0712089478</t>
  </si>
  <si>
    <t>24583280</t>
  </si>
  <si>
    <t>Samuel Ruhangi Mwangi</t>
  </si>
  <si>
    <t>0722610107</t>
  </si>
  <si>
    <t>12417467</t>
  </si>
  <si>
    <t>John Kimani Ngotho</t>
  </si>
  <si>
    <t>0721156069</t>
  </si>
  <si>
    <t>8840075</t>
  </si>
  <si>
    <t>Teresiah Nduta Gitau</t>
  </si>
  <si>
    <t>0717160355</t>
  </si>
  <si>
    <t>26903488</t>
  </si>
  <si>
    <t>Kennedy Kirumba Gitau</t>
  </si>
  <si>
    <t>0114975258</t>
  </si>
  <si>
    <t>41733907</t>
  </si>
  <si>
    <t>John Mirara Muthoga</t>
  </si>
  <si>
    <t>0720141895</t>
  </si>
  <si>
    <t>22372303</t>
  </si>
  <si>
    <t>Patrick Njoroge Kungu</t>
  </si>
  <si>
    <t>0745078949</t>
  </si>
  <si>
    <t>22844442</t>
  </si>
  <si>
    <t>Hannah Nyaguthii</t>
  </si>
  <si>
    <t>0716838439</t>
  </si>
  <si>
    <t>24938672</t>
  </si>
  <si>
    <t>Mirriam Wairimu Gitaka</t>
  </si>
  <si>
    <t>0741123659</t>
  </si>
  <si>
    <t>41675672</t>
  </si>
  <si>
    <t>Mercy Nyambura Maina</t>
  </si>
  <si>
    <t>0705110957</t>
  </si>
  <si>
    <t>27492006</t>
  </si>
  <si>
    <t>Tabitha Waithera Ndungu</t>
  </si>
  <si>
    <t>0797744897</t>
  </si>
  <si>
    <t>31424071</t>
  </si>
  <si>
    <t>Esther Njambi Numera</t>
  </si>
  <si>
    <t>0720323442</t>
  </si>
  <si>
    <t>26869225</t>
  </si>
  <si>
    <t>Mary Wanjiku Muigai</t>
  </si>
  <si>
    <t>0715641477</t>
  </si>
  <si>
    <t>20797859</t>
  </si>
  <si>
    <t>Elizabeth Nyambura Gitau</t>
  </si>
  <si>
    <t>0716589853</t>
  </si>
  <si>
    <t>27860175</t>
  </si>
  <si>
    <t>Esther Wanjiru Muriithi</t>
  </si>
  <si>
    <t>0111573126</t>
  </si>
  <si>
    <t>24423921</t>
  </si>
  <si>
    <t>Fredrick Odionyi</t>
  </si>
  <si>
    <t>0723294698</t>
  </si>
  <si>
    <t>26744903</t>
  </si>
  <si>
    <t>Dorcas Wambui Kamau</t>
  </si>
  <si>
    <t>0718958835</t>
  </si>
  <si>
    <t>23457081</t>
  </si>
  <si>
    <t>Salome Njeri Mbuthia</t>
  </si>
  <si>
    <t>0710359610</t>
  </si>
  <si>
    <t>28382916</t>
  </si>
  <si>
    <t>Mary Njeri Kamau</t>
  </si>
  <si>
    <t>0716427700</t>
  </si>
  <si>
    <t>26689967</t>
  </si>
  <si>
    <t>Naomi Wanjiru Njuguna</t>
  </si>
  <si>
    <t>0701890277</t>
  </si>
  <si>
    <t>28102915</t>
  </si>
  <si>
    <t>Grace Wambui Kirungo</t>
  </si>
  <si>
    <t>0748838165</t>
  </si>
  <si>
    <t>41230142</t>
  </si>
  <si>
    <t>Jackson Njogu Ndekei</t>
  </si>
  <si>
    <t>0758457833</t>
  </si>
  <si>
    <t>33003036</t>
  </si>
  <si>
    <t>Benson Muthee Kinyanjui</t>
  </si>
  <si>
    <t>0114361766</t>
  </si>
  <si>
    <t>42559385</t>
  </si>
  <si>
    <t>Esther Gathoni Chege</t>
  </si>
  <si>
    <t>0724706953</t>
  </si>
  <si>
    <t>25476433</t>
  </si>
  <si>
    <t>Josphine Njoki Ndung'u</t>
  </si>
  <si>
    <t>0725569996</t>
  </si>
  <si>
    <t>8335014</t>
  </si>
  <si>
    <t>Catherine Wachuka Kariuki</t>
  </si>
  <si>
    <t>0722572202</t>
  </si>
  <si>
    <t>7028707</t>
  </si>
  <si>
    <t>Jackline Warukira Kariuki</t>
  </si>
  <si>
    <t>0702695058</t>
  </si>
  <si>
    <t>24532047</t>
  </si>
  <si>
    <t>Jane Wanjiku Macharia</t>
  </si>
  <si>
    <t>0721307339</t>
  </si>
  <si>
    <t>25486582</t>
  </si>
  <si>
    <t>Peter Karibu Githitu</t>
  </si>
  <si>
    <t>0701640618</t>
  </si>
  <si>
    <t>2928933</t>
  </si>
  <si>
    <t>Damaris Wairimu Mwangi</t>
  </si>
  <si>
    <t>0791508489</t>
  </si>
  <si>
    <t>31012591</t>
  </si>
  <si>
    <t>Grace Wanjiru Karungo</t>
  </si>
  <si>
    <t>0727903371</t>
  </si>
  <si>
    <t>26532536</t>
  </si>
  <si>
    <t>Grace Mugure Macharia</t>
  </si>
  <si>
    <t>0116606404</t>
  </si>
  <si>
    <t>32517912</t>
  </si>
  <si>
    <t>Grace Wambui Ndiritu</t>
  </si>
  <si>
    <t>0115444106</t>
  </si>
  <si>
    <t>36158718</t>
  </si>
  <si>
    <t>Nelson Mwangi Kirima</t>
  </si>
  <si>
    <t>0791724230</t>
  </si>
  <si>
    <t>22118116</t>
  </si>
  <si>
    <t>Paul Thiong'o Mwangi</t>
  </si>
  <si>
    <t>0717034868</t>
  </si>
  <si>
    <t>22008675</t>
  </si>
  <si>
    <t>Tabitha Wangari Kimani</t>
  </si>
  <si>
    <t>0715484117</t>
  </si>
  <si>
    <t>26275607</t>
  </si>
  <si>
    <t>Juliana Nyokabi Njogu</t>
  </si>
  <si>
    <t>0704296513</t>
  </si>
  <si>
    <t>27178975</t>
  </si>
  <si>
    <t>Monica Wanjiru</t>
  </si>
  <si>
    <t>0706815518</t>
  </si>
  <si>
    <t>25532121</t>
  </si>
  <si>
    <t>Ruth Wairimu Ngatia</t>
  </si>
  <si>
    <t>0721320807</t>
  </si>
  <si>
    <t>23050436</t>
  </si>
  <si>
    <r>
      <rPr>
        <sz val="11"/>
        <color rgb="FF000000"/>
        <rFont val="Calibri"/>
        <family val="2"/>
      </rPr>
      <t>Mose Bahati Bevlyne</t>
    </r>
    <r>
      <rPr>
        <b/>
        <sz val="12"/>
        <color rgb="FF00B0F0"/>
        <rFont val="Calibri"/>
        <family val="2"/>
      </rPr>
      <t>(Repeat)</t>
    </r>
  </si>
  <si>
    <t>Mercy Murugi Mutundu</t>
  </si>
  <si>
    <t>0707405265</t>
  </si>
  <si>
    <t>40106842</t>
  </si>
  <si>
    <r>
      <rPr>
        <sz val="11"/>
        <color rgb="FF000000"/>
        <rFont val="Aptos Narrow"/>
        <scheme val="minor"/>
      </rPr>
      <t>Jane Njeri Wanjiku</t>
    </r>
    <r>
      <rPr>
        <b/>
        <sz val="12"/>
        <color rgb="FF00B0F0"/>
        <rFont val="Aptos Narrow"/>
        <scheme val="minor"/>
      </rPr>
      <t xml:space="preserve"> (repeat)</t>
    </r>
  </si>
  <si>
    <r>
      <t>Priscillah Nyambura Mutonya</t>
    </r>
    <r>
      <rPr>
        <b/>
        <sz val="12"/>
        <color rgb="FF00B0F0"/>
        <rFont val="Aptos Narrow"/>
        <family val="2"/>
        <scheme val="minor"/>
      </rPr>
      <t xml:space="preserve"> (REPEAT)</t>
    </r>
  </si>
  <si>
    <r>
      <t xml:space="preserve">Abigael Gichemba Noah </t>
    </r>
    <r>
      <rPr>
        <b/>
        <sz val="12"/>
        <color rgb="FF00B0F0"/>
        <rFont val="Aptos Narrow"/>
        <family val="2"/>
        <scheme val="minor"/>
      </rPr>
      <t>(REPEAT)</t>
    </r>
  </si>
  <si>
    <t>Leah Wanjiru Waweru</t>
  </si>
  <si>
    <t>0142165052</t>
  </si>
  <si>
    <t>9815102</t>
  </si>
  <si>
    <t>Hannah Nyokabi Kungu</t>
  </si>
  <si>
    <t>0715007156</t>
  </si>
  <si>
    <t>21137022</t>
  </si>
  <si>
    <t>Peter Maina Mworia</t>
  </si>
  <si>
    <t>0703560538</t>
  </si>
  <si>
    <t>21905797</t>
  </si>
  <si>
    <t>David Maina Wambui</t>
  </si>
  <si>
    <t>0758411395</t>
  </si>
  <si>
    <t>35607675</t>
  </si>
  <si>
    <t xml:space="preserve">Monica Wambui Nguku </t>
  </si>
  <si>
    <t>0798258604</t>
  </si>
  <si>
    <t>8060028</t>
  </si>
  <si>
    <t>Andrew Mungai Thuo</t>
  </si>
  <si>
    <t>0706106746</t>
  </si>
  <si>
    <t>42769177</t>
  </si>
  <si>
    <t>Sera Muringa Ruoro</t>
  </si>
  <si>
    <t>0740897616</t>
  </si>
  <si>
    <t>24633265</t>
  </si>
  <si>
    <t>Obadiah Mburu Ruoro</t>
  </si>
  <si>
    <t>0712477429</t>
  </si>
  <si>
    <t>26795344</t>
  </si>
  <si>
    <t>Beatrice Nyambura Mwangi</t>
  </si>
  <si>
    <t>0726601789</t>
  </si>
  <si>
    <t>27307693</t>
  </si>
  <si>
    <t>Esther Wambui Wachira</t>
  </si>
  <si>
    <t>0727118382</t>
  </si>
  <si>
    <t>24973924</t>
  </si>
  <si>
    <t>Ann Wangari Rigio</t>
  </si>
  <si>
    <t>Milkah Wagaki Kihara</t>
  </si>
  <si>
    <t>CLIENT NAME</t>
  </si>
  <si>
    <t>IDNO</t>
  </si>
  <si>
    <t>LOAN PRODUCT</t>
  </si>
  <si>
    <t>LOAN AMOUNT</t>
  </si>
  <si>
    <t>DURATION DAYS</t>
  </si>
  <si>
    <t>DISBURSEMENT DATE</t>
  </si>
  <si>
    <t>BALANCE</t>
  </si>
  <si>
    <t>PENALTIES</t>
  </si>
  <si>
    <t>LOAN OFFICER</t>
  </si>
  <si>
    <t>BRANCH</t>
  </si>
  <si>
    <t>ARREARS</t>
  </si>
  <si>
    <t>JUDY WARUI</t>
  </si>
  <si>
    <t xml:space="preserve">BEATRICE NYAWIRA </t>
  </si>
  <si>
    <t>MILKA MUMBI</t>
  </si>
  <si>
    <t>ESTHER NYAGUTHHI M</t>
  </si>
  <si>
    <t>FAITH NDEREBA</t>
  </si>
  <si>
    <t>CAROL</t>
  </si>
  <si>
    <t>KARATINA</t>
  </si>
  <si>
    <t>24188580</t>
  </si>
  <si>
    <t>DARAJA</t>
  </si>
  <si>
    <t>6 WEEKS</t>
  </si>
  <si>
    <t>CECILIA NJOKI</t>
  </si>
  <si>
    <t xml:space="preserve">DARAJA </t>
  </si>
  <si>
    <t>21/07/2026</t>
  </si>
  <si>
    <t>PURITY MUMBI KARIMI</t>
  </si>
  <si>
    <t>6WEEKS</t>
  </si>
  <si>
    <t>24/06/2026</t>
  </si>
  <si>
    <t>PETER MURAGE</t>
  </si>
  <si>
    <t>18/6/2026</t>
  </si>
  <si>
    <t>FLORENCE MURITHI</t>
  </si>
  <si>
    <t>19/08/2026</t>
  </si>
  <si>
    <t>LOISE WAIRIMU</t>
  </si>
  <si>
    <t>FAITH NDIANGUI</t>
  </si>
  <si>
    <t>BRIAN MUGO</t>
  </si>
  <si>
    <t>DAMARIS WAKARIMA</t>
  </si>
  <si>
    <t xml:space="preserve">ERICK MWAKI </t>
  </si>
  <si>
    <t>DAMARIS WACHIURI</t>
  </si>
  <si>
    <t>CATHERINE W MACHARIA</t>
  </si>
  <si>
    <t>PATRICK NTHIGA</t>
  </si>
  <si>
    <t>KELVIN KARUGA</t>
  </si>
  <si>
    <t>GLADYS WATETU</t>
  </si>
  <si>
    <t>MARGRET W NJANGE</t>
  </si>
  <si>
    <t>ALICE KARIITHI</t>
  </si>
  <si>
    <t>DELFINO GATWIKI</t>
  </si>
  <si>
    <t>PURITY MUTIIRIA</t>
  </si>
  <si>
    <t>MARY NJOGU</t>
  </si>
  <si>
    <t>PAULINE KARIMI</t>
  </si>
  <si>
    <t>DENNIS MUTHOMI</t>
  </si>
  <si>
    <t>LYDIAH NYAWIRA</t>
  </si>
  <si>
    <t>FRIDAH MUSYOKA</t>
  </si>
  <si>
    <t>EVELYN KIAMA</t>
  </si>
  <si>
    <t>SAMUEL MUNUHE</t>
  </si>
  <si>
    <t>NAOMI MUTHONI</t>
  </si>
  <si>
    <t>AGATHA MUHIA</t>
  </si>
  <si>
    <t>JANE KIMONDO</t>
  </si>
  <si>
    <t>JANE MUTURI</t>
  </si>
  <si>
    <t>SUSAN KARURU</t>
  </si>
  <si>
    <t>BETH GITAU</t>
  </si>
  <si>
    <t>SAMUEL WAIRIMU</t>
  </si>
  <si>
    <t>JOSEPH</t>
  </si>
  <si>
    <t>MARY NGENYI</t>
  </si>
  <si>
    <t>PATRICIA WAMUYU</t>
  </si>
  <si>
    <t>ALICE WACHIRA</t>
  </si>
  <si>
    <t>PATRICIA KARIO</t>
  </si>
  <si>
    <t>ESTHER KAGWE</t>
  </si>
  <si>
    <t>ALICE KIRERU</t>
  </si>
  <si>
    <t>CAROLINE MWANGI</t>
  </si>
  <si>
    <t>REGINAH N MUCHIRI</t>
  </si>
  <si>
    <t>RAHAB W MBUI</t>
  </si>
  <si>
    <t>JOSEPH WANJOHI</t>
  </si>
  <si>
    <t>LEAH MWANIKI</t>
  </si>
  <si>
    <t>EVERGERINE WAMUYU</t>
  </si>
  <si>
    <t>JANE WACERA K</t>
  </si>
  <si>
    <t>PHYLIS ONYANGO</t>
  </si>
  <si>
    <t>RICHARD MIGWI</t>
  </si>
  <si>
    <t>ANNAH MURIUKI</t>
  </si>
  <si>
    <t>CHARITY NJAGI</t>
  </si>
  <si>
    <t xml:space="preserve">PATRICK KINYA </t>
  </si>
  <si>
    <t>PURITY GITHAGA</t>
  </si>
  <si>
    <t>CAROLINE KINYA</t>
  </si>
  <si>
    <t>ELIZABETH WANJAU</t>
  </si>
  <si>
    <t>SALOME N KAHARU</t>
  </si>
  <si>
    <t>FLORENCE NYAMBURA</t>
  </si>
  <si>
    <t>JANE NYIHA MUKAMI</t>
  </si>
  <si>
    <t>MARGRATE WANJIKU W</t>
  </si>
  <si>
    <t>HANNAH MUGAMBI</t>
  </si>
  <si>
    <t>MARTHA WAIRIMU M</t>
  </si>
  <si>
    <t>LYDIAH WANJIRU WAMUYU</t>
  </si>
  <si>
    <t xml:space="preserve">LUCY KIHWAGA </t>
  </si>
  <si>
    <t>EUNICE GITHAIGA</t>
  </si>
  <si>
    <t>JANE MWERU MURIMI</t>
  </si>
  <si>
    <t>FAITH MWENDE</t>
  </si>
  <si>
    <t>GRACE MUMBI</t>
  </si>
  <si>
    <t>MIRRIAM MUNYIRI</t>
  </si>
  <si>
    <t>GRACE MBUKI</t>
  </si>
  <si>
    <t>DAVID KIINIKI</t>
  </si>
  <si>
    <t>EUNICE KINUA</t>
  </si>
  <si>
    <t>MARGRET NDIRITU</t>
  </si>
  <si>
    <t>ROSE MWANGI</t>
  </si>
  <si>
    <t>RUTH WAMAI</t>
  </si>
  <si>
    <t>LUCY WACERA</t>
  </si>
  <si>
    <t>MILLICENT NGATIA</t>
  </si>
  <si>
    <t>LYDIAH WAWERU</t>
  </si>
  <si>
    <t>ESTHER WANJIRU</t>
  </si>
  <si>
    <t>SALLYLOISE GITHOGORI</t>
  </si>
  <si>
    <t>CATHERINE MUENI</t>
  </si>
  <si>
    <t>ANNE WAMUCII</t>
  </si>
  <si>
    <t>ESTHER NYAWIRA M</t>
  </si>
  <si>
    <t>PHANCY WANJIRU</t>
  </si>
  <si>
    <t>PAULINE NJERI</t>
  </si>
  <si>
    <t>JANE W MUHORO</t>
  </si>
  <si>
    <t>LISPER</t>
  </si>
  <si>
    <t>SUSAN NJOKI</t>
  </si>
  <si>
    <t>REBECCA NYAGUTHII</t>
  </si>
  <si>
    <t>BEATRICE KAROMBU</t>
  </si>
  <si>
    <t>FAITH MAINA</t>
  </si>
  <si>
    <t>CONSOLATA MURIGU</t>
  </si>
  <si>
    <t>JUDY KAMOCHI</t>
  </si>
  <si>
    <t>JANET M KINYUA</t>
  </si>
  <si>
    <t>LUCY KAMOCHE</t>
  </si>
  <si>
    <t>MARY WATETU</t>
  </si>
  <si>
    <t>PURITY KAGENDO</t>
  </si>
  <si>
    <t>BEATRICE KAHORO</t>
  </si>
  <si>
    <t>MARY GATHERA</t>
  </si>
  <si>
    <t>ALICE KARIUKI</t>
  </si>
  <si>
    <t>FAITH NJOGU</t>
  </si>
  <si>
    <t>ELIZABETH WANGUI</t>
  </si>
  <si>
    <t>JOHN GITHINJI</t>
  </si>
  <si>
    <t>DOROTHY GACHERI N</t>
  </si>
  <si>
    <t>ROSE NDIRANGU</t>
  </si>
  <si>
    <t>ANGELICA GIKUNJU</t>
  </si>
  <si>
    <t>SARAH MBUTHU</t>
  </si>
  <si>
    <t>ESTHER NGUYO</t>
  </si>
  <si>
    <t>MERCY MURUGI</t>
  </si>
  <si>
    <t>GRACE W NGUNJIRI</t>
  </si>
  <si>
    <t>JOYCE NGURE</t>
  </si>
  <si>
    <t>ROSEMARY WANJOHI</t>
  </si>
  <si>
    <t>LUCY KARUE</t>
  </si>
  <si>
    <t>GRACE MUTHONI N</t>
  </si>
  <si>
    <t>ALICE NDUTA</t>
  </si>
  <si>
    <t>PHYLIS WATAKU</t>
  </si>
  <si>
    <t>JACINTA NDERITU</t>
  </si>
  <si>
    <t>MILKA MURIGU</t>
  </si>
  <si>
    <t>ALICE WANDUMA</t>
  </si>
  <si>
    <t>MARY NGARI</t>
  </si>
  <si>
    <t>HANNAH MWATHI</t>
  </si>
  <si>
    <t>RUTH NGARI</t>
  </si>
  <si>
    <t>JEMARITHA NJERI</t>
  </si>
  <si>
    <t>FLORENCE WACHIRA</t>
  </si>
  <si>
    <t>NYAKIO C</t>
  </si>
  <si>
    <t>15/06/2026</t>
  </si>
  <si>
    <t>LEAH WANJIRU</t>
  </si>
  <si>
    <t>4 WEEKS</t>
  </si>
  <si>
    <t>JACKSON MUCHOMBA</t>
  </si>
  <si>
    <t>20/06/2026</t>
  </si>
  <si>
    <t>CHARLES NJOROGE</t>
  </si>
  <si>
    <t>22/06/2026</t>
  </si>
  <si>
    <t>NAOMI WAMBUI</t>
  </si>
  <si>
    <t>JANE WAMBUI</t>
  </si>
  <si>
    <t>VUKA</t>
  </si>
  <si>
    <t>VERONICA MUTHONI</t>
  </si>
  <si>
    <t>MARY MUMBI</t>
  </si>
  <si>
    <t>MARTHA WAIRIMU</t>
  </si>
  <si>
    <t>WINNIE WANJIKU</t>
  </si>
  <si>
    <t>DANIEL NJUE</t>
  </si>
  <si>
    <t>CHARITY MUTHONI</t>
  </si>
  <si>
    <t>JOHN KOORO</t>
  </si>
  <si>
    <t>WINFRED WANJIRU</t>
  </si>
  <si>
    <t>CAROLINE WANGUI</t>
  </si>
  <si>
    <t>CHARLES GICHUKI</t>
  </si>
  <si>
    <t>14/06/2026</t>
  </si>
  <si>
    <t>IAN FELIX NYAGA</t>
  </si>
  <si>
    <t>13/06/2026</t>
  </si>
  <si>
    <t>BONIFACE MURIRI</t>
  </si>
  <si>
    <t>18/06/2026</t>
  </si>
  <si>
    <t>AGNES KINGORI</t>
  </si>
  <si>
    <t>21/05/2026</t>
  </si>
  <si>
    <t>ANTHONY MWANGI</t>
  </si>
  <si>
    <t>22/05/2026</t>
  </si>
  <si>
    <t>ALICE MAINA</t>
  </si>
  <si>
    <t>JOSEPH MAINA</t>
  </si>
  <si>
    <t>DAVID MAINA</t>
  </si>
  <si>
    <t>23/06/2026</t>
  </si>
  <si>
    <t>KELVIN NJUGUNA</t>
  </si>
  <si>
    <t>ANN KAMAU</t>
  </si>
  <si>
    <t>25/06/2026</t>
  </si>
  <si>
    <t>PRSCILA GACHERU</t>
  </si>
  <si>
    <t>MARGRATE WAMUYU</t>
  </si>
  <si>
    <t>PENINAH NJERI</t>
  </si>
  <si>
    <t>MOSES WANGONDU</t>
  </si>
  <si>
    <t>GEOFRY MACHARIA</t>
  </si>
  <si>
    <t>GRACE MACHARIA</t>
  </si>
  <si>
    <t>DAVID WAMBUGU K</t>
  </si>
  <si>
    <t>ALICE WANJIKU W</t>
  </si>
  <si>
    <t>MORIS MAWIRA</t>
  </si>
  <si>
    <t>MARY WAKIURU</t>
  </si>
  <si>
    <t>ANTHONY MAINGI</t>
  </si>
  <si>
    <t>ESTHER WANJIKU</t>
  </si>
  <si>
    <t>23/07/2026</t>
  </si>
  <si>
    <t>ESTHER WANGARI</t>
  </si>
  <si>
    <t>SUSAN NYOKABI</t>
  </si>
  <si>
    <t>ESTHER WAMUYU</t>
  </si>
  <si>
    <t>MARTHA MWAGANU</t>
  </si>
  <si>
    <t>SYNTHIA WAMUYU</t>
  </si>
  <si>
    <t>NELIUS WAMBUI</t>
  </si>
  <si>
    <t>19/06/2026</t>
  </si>
  <si>
    <t>GEOFFRY MACHARIA</t>
  </si>
  <si>
    <t>RACHEL GITHUI</t>
  </si>
  <si>
    <t>LYDIAH MWANGI</t>
  </si>
  <si>
    <t>GLADYS WAITHIRA</t>
  </si>
  <si>
    <t>ALICE MUMBI</t>
  </si>
  <si>
    <t>PAULINE WAMUYU</t>
  </si>
  <si>
    <t>17/06/2026</t>
  </si>
  <si>
    <t>MARGRET WAITHIEGENI</t>
  </si>
  <si>
    <t>JAMES MAINGI</t>
  </si>
  <si>
    <t>EUNICE NYAMBURA</t>
  </si>
  <si>
    <t>TABITHA WANJAU</t>
  </si>
  <si>
    <t>16/06/2026</t>
  </si>
  <si>
    <t>AGNES NJAMBI</t>
  </si>
  <si>
    <t>PHYLIS WANJIKU</t>
  </si>
  <si>
    <t>JACKLINE WAMBUI</t>
  </si>
  <si>
    <t>13/07/2026</t>
  </si>
  <si>
    <t>29/06/2026</t>
  </si>
  <si>
    <t>HELLEN NYAGUTHII</t>
  </si>
  <si>
    <t xml:space="preserve"> 08/06/2026</t>
  </si>
  <si>
    <t>CHARLES NDIRITU</t>
  </si>
  <si>
    <t>30/06/2026</t>
  </si>
  <si>
    <t>JOYCE WAIRIMU</t>
  </si>
  <si>
    <t>14/7/2026</t>
  </si>
  <si>
    <t>ALICE WANJIRU</t>
  </si>
  <si>
    <t>GRACE WAMUYU</t>
  </si>
  <si>
    <t>ESTHER NJERI</t>
  </si>
  <si>
    <t>13/07//2026</t>
  </si>
  <si>
    <t>LYDIAH WANJIRU</t>
  </si>
  <si>
    <t>LYDIAH MWITA</t>
  </si>
  <si>
    <t>MERCY WAMBERE</t>
  </si>
  <si>
    <t>RACHEL WAMBAIRE</t>
  </si>
  <si>
    <t>MARY NJOKI MWANGI</t>
  </si>
  <si>
    <t>17/07/2026</t>
  </si>
  <si>
    <t>PERIS WAMBUI</t>
  </si>
  <si>
    <t xml:space="preserve"> 6 WEEKS</t>
  </si>
  <si>
    <t>ZIPPORAH NJOKI</t>
  </si>
  <si>
    <t>16/7/2026</t>
  </si>
  <si>
    <t>ROSEMARY NGATIA</t>
  </si>
  <si>
    <t>BEATRICE WAMUYU</t>
  </si>
  <si>
    <t>PATRIC SKYVIC</t>
  </si>
  <si>
    <t>SUSAN WANGU</t>
  </si>
  <si>
    <t>WINROSE WANGARI</t>
  </si>
  <si>
    <t>MONICA WAMUYU</t>
  </si>
  <si>
    <t>28/7/2026</t>
  </si>
  <si>
    <t>25/8/2026</t>
  </si>
  <si>
    <t>DAVID WANGOMBE</t>
  </si>
  <si>
    <t>28/8/2026</t>
  </si>
  <si>
    <t xml:space="preserve"> IRENE NJOKI MACHARIA</t>
  </si>
  <si>
    <t>14/05/2026</t>
  </si>
  <si>
    <t>CATHERINE NELIMA</t>
  </si>
  <si>
    <t>19/05/2026</t>
  </si>
  <si>
    <t>MERCY WANJIKU</t>
  </si>
  <si>
    <t>PENINAH KAMAU</t>
  </si>
  <si>
    <t>JANEFER WANGECI</t>
  </si>
  <si>
    <t>28/05/2026</t>
  </si>
  <si>
    <t>GEOFRY NDERITU</t>
  </si>
  <si>
    <t>CICILY WANYAGA</t>
  </si>
  <si>
    <t>EUNICE WAMBUI</t>
  </si>
  <si>
    <t>KARATIAN</t>
  </si>
  <si>
    <t>GLADYS WAIRIMU</t>
  </si>
  <si>
    <t>CAROLINE WAIRIMU</t>
  </si>
  <si>
    <t>15/7/2026</t>
  </si>
  <si>
    <t>LILIAN GATHONI</t>
  </si>
  <si>
    <t>30/07/2026</t>
  </si>
  <si>
    <t>SUSAN WANGUI</t>
  </si>
  <si>
    <t>EUNICE WANJIKU</t>
  </si>
  <si>
    <t>20/08/2026</t>
  </si>
  <si>
    <t>MARGRET WAMBUI</t>
  </si>
  <si>
    <t>NANCY WANJIRA</t>
  </si>
  <si>
    <t>SUSAN WAITHERA</t>
  </si>
  <si>
    <t>15/07/2026</t>
  </si>
  <si>
    <t>ESTHER NYAGUTHII</t>
  </si>
  <si>
    <t>24/07/2026</t>
  </si>
  <si>
    <t>AGNES MAINA</t>
  </si>
  <si>
    <t>14/08/2026</t>
  </si>
  <si>
    <t>ELIZABETH NYAWIRA</t>
  </si>
  <si>
    <t>CHRISTOPHER MWIKY</t>
  </si>
  <si>
    <t>27/7/2026</t>
  </si>
  <si>
    <t>DORIS NJOKI</t>
  </si>
  <si>
    <t>JANE NGIMA WANJOHI</t>
  </si>
  <si>
    <t>29/05/2026</t>
  </si>
  <si>
    <t>29/7/2026</t>
  </si>
  <si>
    <t>JANE WANDIA</t>
  </si>
  <si>
    <t>MERCY WANGUI</t>
  </si>
  <si>
    <t>CHARLES MWANGI</t>
  </si>
  <si>
    <t>13/08/2026</t>
  </si>
  <si>
    <t>HARRISON MURIUKI</t>
  </si>
  <si>
    <t>MILICA WANJIKU</t>
  </si>
  <si>
    <t>MARTHA WANJIRU</t>
  </si>
  <si>
    <t>29/07/2026</t>
  </si>
  <si>
    <t>AGNES WANJIKU</t>
  </si>
  <si>
    <t>ABIGAEL MURINGO</t>
  </si>
  <si>
    <t>REBECCA WANGUI</t>
  </si>
  <si>
    <t>ANN GATHIGIA M</t>
  </si>
  <si>
    <t>GRACE WANGUI</t>
  </si>
  <si>
    <t>19/08/206</t>
  </si>
  <si>
    <t>GRACE WAIRIMU</t>
  </si>
  <si>
    <t>CATHERINE MUTHONI</t>
  </si>
  <si>
    <t>22/09/2026</t>
  </si>
  <si>
    <t>RUTH WANJIRU M</t>
  </si>
  <si>
    <t>ALICE WANGECHI WANGOMBE</t>
  </si>
  <si>
    <t>WINROSE WANJIRA MAINA</t>
  </si>
  <si>
    <t>TABITHA NJOKI</t>
  </si>
  <si>
    <t>GUARANTORSNO</t>
  </si>
  <si>
    <t>CLIENTS NO</t>
  </si>
  <si>
    <t>0711658450</t>
  </si>
  <si>
    <t>5554601</t>
  </si>
  <si>
    <t>SYILVIA MWIKALI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</si>
</sst>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B0F0"/>
      <name val="Calibri"/>
      <family val="2"/>
    </font>
    <font>
      <b/>
      <u/>
      <sz val="20"/>
      <color theme="1"/>
      <name val="Aptos Narrow"/>
      <family val="2"/>
      <scheme val="minor"/>
    </font>
    <font>
      <b/>
      <u val="double"/>
      <sz val="18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FF0000"/>
      <name val="Calibri"/>
      <family val="2"/>
    </font>
    <font>
      <sz val="11"/>
      <color theme="1"/>
      <name val="Aptos Narrow"/>
      <family val="2"/>
    </font>
    <font>
      <b/>
      <sz val="12"/>
      <color rgb="FF0E284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 val="double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rgb="FF00B0F0"/>
      <name val="Aptos Narrow"/>
      <scheme val="minor"/>
    </font>
    <font>
      <sz val="11"/>
      <color theme="1"/>
      <name val="Aptos Narrow"/>
      <scheme val="minor"/>
    </font>
    <font>
      <b/>
      <sz val="12"/>
      <color rgb="FF191970"/>
      <name val="Cambria"/>
      <family val="1"/>
    </font>
    <font>
      <sz val="11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A0A0A0"/>
        </stop>
      </gradient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1" xfId="0" applyNumberFormat="1" applyBorder="1"/>
    <xf numFmtId="0" fontId="11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/>
    <xf numFmtId="0" fontId="12" fillId="0" borderId="1" xfId="0" applyFon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0" fontId="13" fillId="0" borderId="0" xfId="0" applyFont="1"/>
    <xf numFmtId="0" fontId="15" fillId="0" borderId="0" xfId="0" applyFont="1"/>
    <xf numFmtId="0" fontId="14" fillId="0" borderId="0" xfId="0" applyFont="1"/>
    <xf numFmtId="164" fontId="0" fillId="0" borderId="3" xfId="0" applyNumberFormat="1" applyBorder="1"/>
    <xf numFmtId="0" fontId="4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16" fillId="0" borderId="3" xfId="0" applyFont="1" applyBorder="1"/>
    <xf numFmtId="0" fontId="19" fillId="0" borderId="1" xfId="0" applyFont="1" applyBorder="1"/>
    <xf numFmtId="0" fontId="20" fillId="2" borderId="4" xfId="0" applyFont="1" applyFill="1" applyBorder="1"/>
    <xf numFmtId="0" fontId="20" fillId="2" borderId="0" xfId="0" applyFont="1" applyFill="1"/>
    <xf numFmtId="49" fontId="0" fillId="0" borderId="0" xfId="0" applyNumberFormat="1"/>
    <xf numFmtId="14" fontId="0" fillId="0" borderId="0" xfId="0" applyNumberFormat="1"/>
    <xf numFmtId="0" fontId="0" fillId="3" borderId="0" xfId="0" applyFill="1"/>
    <xf numFmtId="0" fontId="21" fillId="0" borderId="0" xfId="0" applyFont="1"/>
    <xf numFmtId="0" fontId="0" fillId="0" borderId="0" xfId="0" applyBorder="1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F1" workbookViewId="0">
      <selection activeCell="I4" sqref="I4"/>
    </sheetView>
  </sheetViews>
  <sheetFormatPr defaultRowHeight="15" x14ac:dyDescent="0.25"/>
  <cols>
    <col min="2" max="2" width="13.85546875" customWidth="1"/>
    <col min="3" max="3" width="34" customWidth="1"/>
    <col min="4" max="5" width="20.5703125" customWidth="1"/>
    <col min="6" max="6" width="26.85546875" customWidth="1"/>
    <col min="7" max="8" width="17.5703125" customWidth="1"/>
    <col min="9" max="9" width="13.140625" customWidth="1"/>
    <col min="10" max="10" width="17.85546875" customWidth="1"/>
    <col min="11" max="11" width="12.7109375" customWidth="1"/>
    <col min="12" max="12" width="14.28515625" customWidth="1"/>
    <col min="13" max="13" width="11.42578125" customWidth="1"/>
    <col min="14" max="14" width="16.140625" bestFit="1" customWidth="1"/>
  </cols>
  <sheetData>
    <row r="1" spans="1:14" ht="15.75" x14ac:dyDescent="0.25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2"/>
    </row>
    <row r="2" spans="1:14" x14ac:dyDescent="0.25">
      <c r="A2" s="2"/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>
        <v>1</v>
      </c>
      <c r="B3" s="13">
        <v>46269</v>
      </c>
      <c r="C3" s="2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2" t="s">
        <v>19</v>
      </c>
      <c r="J3" s="2">
        <v>10000</v>
      </c>
      <c r="K3" s="2">
        <f t="shared" ref="K3:K39" si="0">IF(J3&lt;10000,2000,IF(I3="6 weeks",J3*30%,IF(I3="4 weeks",J3*20%,0)))</f>
        <v>3000</v>
      </c>
      <c r="L3" s="2">
        <f t="shared" ref="L3:L27" si="1">ROUND((J3+K3)/IF(I3="4 weeks",4,IF(I3="6 weeks",6,0)),0)</f>
        <v>2167</v>
      </c>
      <c r="M3" s="2" t="s">
        <v>20</v>
      </c>
      <c r="N3" s="2" t="s">
        <v>332</v>
      </c>
    </row>
    <row r="4" spans="1:14" x14ac:dyDescent="0.25">
      <c r="A4" s="3">
        <v>2</v>
      </c>
      <c r="B4" s="13">
        <v>46269</v>
      </c>
      <c r="C4" s="2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2" t="s">
        <v>28</v>
      </c>
      <c r="J4" s="2">
        <v>15000</v>
      </c>
      <c r="K4" s="2">
        <f t="shared" si="0"/>
        <v>3000</v>
      </c>
      <c r="L4" s="2">
        <f t="shared" si="1"/>
        <v>4500</v>
      </c>
      <c r="M4" s="2" t="s">
        <v>20</v>
      </c>
      <c r="N4" s="2" t="s">
        <v>332</v>
      </c>
    </row>
    <row r="5" spans="1:14" x14ac:dyDescent="0.25">
      <c r="A5" s="3">
        <v>3</v>
      </c>
      <c r="B5" s="13">
        <v>46272</v>
      </c>
      <c r="C5" s="2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2" t="s">
        <v>35</v>
      </c>
      <c r="J5" s="2">
        <v>10000</v>
      </c>
      <c r="K5" s="2">
        <f t="shared" si="0"/>
        <v>2000</v>
      </c>
      <c r="L5" s="2">
        <f t="shared" si="1"/>
        <v>3000</v>
      </c>
      <c r="M5" s="2" t="s">
        <v>20</v>
      </c>
      <c r="N5" s="2" t="s">
        <v>332</v>
      </c>
    </row>
    <row r="6" spans="1:14" x14ac:dyDescent="0.25">
      <c r="A6" s="3">
        <v>4</v>
      </c>
      <c r="B6" s="13">
        <v>46274</v>
      </c>
      <c r="C6" s="2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2" t="s">
        <v>28</v>
      </c>
      <c r="J6" s="2">
        <v>20000</v>
      </c>
      <c r="K6" s="2">
        <f t="shared" si="0"/>
        <v>4000</v>
      </c>
      <c r="L6" s="2">
        <f t="shared" si="1"/>
        <v>6000</v>
      </c>
      <c r="M6" s="2" t="s">
        <v>20</v>
      </c>
      <c r="N6" s="2" t="s">
        <v>332</v>
      </c>
    </row>
    <row r="7" spans="1:14" x14ac:dyDescent="0.25">
      <c r="A7" s="3">
        <v>5</v>
      </c>
      <c r="B7" s="13">
        <v>46274</v>
      </c>
      <c r="C7" s="2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2" t="s">
        <v>28</v>
      </c>
      <c r="J7" s="2">
        <v>20000</v>
      </c>
      <c r="K7" s="2">
        <f t="shared" si="0"/>
        <v>4000</v>
      </c>
      <c r="L7" s="2">
        <f t="shared" si="1"/>
        <v>6000</v>
      </c>
      <c r="M7" s="2" t="s">
        <v>20</v>
      </c>
      <c r="N7" s="2" t="s">
        <v>332</v>
      </c>
    </row>
    <row r="8" spans="1:14" x14ac:dyDescent="0.25">
      <c r="A8" s="3">
        <v>6</v>
      </c>
      <c r="B8" s="13">
        <v>46274</v>
      </c>
      <c r="C8" s="2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2" t="s">
        <v>35</v>
      </c>
      <c r="J8" s="2">
        <v>8000</v>
      </c>
      <c r="K8" s="2">
        <f t="shared" si="0"/>
        <v>2000</v>
      </c>
      <c r="L8" s="2">
        <f t="shared" si="1"/>
        <v>2500</v>
      </c>
      <c r="M8" s="2" t="s">
        <v>20</v>
      </c>
      <c r="N8" t="s">
        <v>333</v>
      </c>
    </row>
    <row r="9" spans="1:14" x14ac:dyDescent="0.25">
      <c r="A9" s="3">
        <v>7</v>
      </c>
      <c r="B9" s="13">
        <v>46275</v>
      </c>
      <c r="C9" s="2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2" t="s">
        <v>28</v>
      </c>
      <c r="J9" s="2">
        <v>7000</v>
      </c>
      <c r="K9" s="2">
        <f t="shared" si="0"/>
        <v>2000</v>
      </c>
      <c r="L9" s="2">
        <f t="shared" si="1"/>
        <v>2250</v>
      </c>
      <c r="M9" s="2">
        <v>4500</v>
      </c>
      <c r="N9" s="2" t="s">
        <v>54</v>
      </c>
    </row>
    <row r="10" spans="1:14" x14ac:dyDescent="0.25">
      <c r="A10" s="3">
        <v>8</v>
      </c>
      <c r="B10" s="13">
        <v>46275</v>
      </c>
      <c r="C10" s="2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2" t="s">
        <v>28</v>
      </c>
      <c r="J10" s="2">
        <v>20000</v>
      </c>
      <c r="K10" s="2">
        <f t="shared" si="0"/>
        <v>4000</v>
      </c>
      <c r="L10" s="2">
        <f t="shared" si="1"/>
        <v>6000</v>
      </c>
      <c r="M10" s="2" t="s">
        <v>20</v>
      </c>
      <c r="N10" s="2" t="s">
        <v>21</v>
      </c>
    </row>
    <row r="11" spans="1:14" x14ac:dyDescent="0.25">
      <c r="A11" s="3">
        <v>9</v>
      </c>
      <c r="B11" s="13">
        <v>46275</v>
      </c>
      <c r="C11" s="2" t="s">
        <v>67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72</v>
      </c>
      <c r="I11" s="2" t="s">
        <v>19</v>
      </c>
      <c r="J11" s="2">
        <v>10000</v>
      </c>
      <c r="K11" s="2">
        <f t="shared" si="0"/>
        <v>3000</v>
      </c>
      <c r="L11" s="2">
        <f t="shared" si="1"/>
        <v>2167</v>
      </c>
      <c r="M11" s="2" t="s">
        <v>20</v>
      </c>
      <c r="N11" s="2" t="s">
        <v>54</v>
      </c>
    </row>
    <row r="12" spans="1:14" x14ac:dyDescent="0.25">
      <c r="A12" s="3">
        <v>10</v>
      </c>
      <c r="B12" s="13">
        <v>46276</v>
      </c>
      <c r="C12" s="2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2" t="s">
        <v>19</v>
      </c>
      <c r="J12" s="2">
        <v>20000</v>
      </c>
      <c r="K12" s="2">
        <f t="shared" si="0"/>
        <v>6000</v>
      </c>
      <c r="L12" s="2">
        <f t="shared" si="1"/>
        <v>4333</v>
      </c>
      <c r="M12" s="2">
        <v>17332</v>
      </c>
      <c r="N12" s="2" t="s">
        <v>21</v>
      </c>
    </row>
    <row r="13" spans="1:14" x14ac:dyDescent="0.25">
      <c r="A13" s="3">
        <v>11</v>
      </c>
      <c r="B13" s="13">
        <v>46276</v>
      </c>
      <c r="C13" s="2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2" t="s">
        <v>19</v>
      </c>
      <c r="J13" s="2">
        <v>10000</v>
      </c>
      <c r="K13" s="2">
        <f t="shared" si="0"/>
        <v>3000</v>
      </c>
      <c r="L13" s="2">
        <f t="shared" si="1"/>
        <v>2167</v>
      </c>
      <c r="M13" s="2">
        <v>8666</v>
      </c>
      <c r="N13" s="2" t="s">
        <v>21</v>
      </c>
    </row>
    <row r="14" spans="1:14" x14ac:dyDescent="0.25">
      <c r="A14" s="3">
        <v>12</v>
      </c>
      <c r="B14" s="13">
        <v>46276</v>
      </c>
      <c r="C14" s="2" t="s">
        <v>25</v>
      </c>
      <c r="D14" s="4" t="s">
        <v>85</v>
      </c>
      <c r="E14" s="4" t="s">
        <v>27</v>
      </c>
      <c r="F14" s="4" t="s">
        <v>86</v>
      </c>
      <c r="G14" s="4" t="s">
        <v>87</v>
      </c>
      <c r="H14" s="4" t="s">
        <v>88</v>
      </c>
      <c r="I14" s="2" t="s">
        <v>28</v>
      </c>
      <c r="J14" s="2">
        <v>10000</v>
      </c>
      <c r="K14" s="2">
        <f t="shared" si="0"/>
        <v>2000</v>
      </c>
      <c r="L14" s="2">
        <f t="shared" si="1"/>
        <v>3000</v>
      </c>
      <c r="M14" s="2">
        <v>9000</v>
      </c>
      <c r="N14" s="2" t="s">
        <v>21</v>
      </c>
    </row>
    <row r="15" spans="1:14" x14ac:dyDescent="0.25">
      <c r="A15" s="3">
        <v>13</v>
      </c>
      <c r="B15" s="13">
        <v>46280</v>
      </c>
      <c r="C15" s="5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  <c r="I15" s="4" t="s">
        <v>19</v>
      </c>
      <c r="J15" s="2">
        <v>15000</v>
      </c>
      <c r="K15" s="2">
        <f t="shared" si="0"/>
        <v>4500</v>
      </c>
      <c r="L15" s="2">
        <f t="shared" si="1"/>
        <v>3250</v>
      </c>
      <c r="M15" s="2">
        <v>13000</v>
      </c>
      <c r="N15" s="2" t="s">
        <v>54</v>
      </c>
    </row>
    <row r="16" spans="1:14" x14ac:dyDescent="0.25">
      <c r="A16" s="3">
        <v>14</v>
      </c>
      <c r="B16" s="13">
        <v>46280</v>
      </c>
      <c r="C16" s="2" t="s">
        <v>95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19</v>
      </c>
      <c r="J16" s="2">
        <v>10000</v>
      </c>
      <c r="K16" s="2">
        <f t="shared" si="0"/>
        <v>3000</v>
      </c>
      <c r="L16" s="2">
        <f t="shared" si="1"/>
        <v>2167</v>
      </c>
      <c r="M16" s="2">
        <v>8666</v>
      </c>
      <c r="N16" s="2" t="s">
        <v>54</v>
      </c>
    </row>
    <row r="17" spans="1:14" x14ac:dyDescent="0.25">
      <c r="A17" s="3">
        <v>15</v>
      </c>
      <c r="B17" s="13">
        <v>46280</v>
      </c>
      <c r="C17" s="2" t="s">
        <v>101</v>
      </c>
      <c r="D17" s="4" t="s">
        <v>102</v>
      </c>
      <c r="E17" s="4" t="s">
        <v>103</v>
      </c>
      <c r="F17" s="4" t="s">
        <v>104</v>
      </c>
      <c r="G17" s="4" t="s">
        <v>105</v>
      </c>
      <c r="H17" s="4" t="s">
        <v>106</v>
      </c>
      <c r="I17" s="4" t="s">
        <v>19</v>
      </c>
      <c r="J17" s="2">
        <v>16000</v>
      </c>
      <c r="K17" s="2">
        <f t="shared" si="0"/>
        <v>4800</v>
      </c>
      <c r="L17" s="2">
        <f t="shared" si="1"/>
        <v>3467</v>
      </c>
      <c r="M17" s="2">
        <v>13866</v>
      </c>
      <c r="N17" s="2" t="s">
        <v>54</v>
      </c>
    </row>
    <row r="18" spans="1:14" x14ac:dyDescent="0.25">
      <c r="A18" s="3">
        <v>16</v>
      </c>
      <c r="B18" s="13">
        <v>46280</v>
      </c>
      <c r="C18" s="2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19</v>
      </c>
      <c r="J18" s="2">
        <v>10000</v>
      </c>
      <c r="K18" s="2">
        <f t="shared" si="0"/>
        <v>3000</v>
      </c>
      <c r="L18" s="2">
        <f t="shared" si="1"/>
        <v>2167</v>
      </c>
      <c r="M18" s="2" t="s">
        <v>20</v>
      </c>
      <c r="N18" s="2" t="s">
        <v>21</v>
      </c>
    </row>
    <row r="19" spans="1:14" x14ac:dyDescent="0.25">
      <c r="A19" s="3">
        <v>17</v>
      </c>
      <c r="B19" s="13">
        <v>46280</v>
      </c>
      <c r="C19" s="2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19</v>
      </c>
      <c r="J19" s="2">
        <v>12000</v>
      </c>
      <c r="K19" s="2">
        <f t="shared" si="0"/>
        <v>3600</v>
      </c>
      <c r="L19" s="2">
        <f t="shared" si="1"/>
        <v>2600</v>
      </c>
      <c r="M19" s="2">
        <v>10400</v>
      </c>
      <c r="N19" s="2" t="s">
        <v>21</v>
      </c>
    </row>
    <row r="20" spans="1:14" x14ac:dyDescent="0.25">
      <c r="A20" s="3">
        <v>18</v>
      </c>
      <c r="B20" s="13">
        <v>46280</v>
      </c>
      <c r="C20" s="2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19</v>
      </c>
      <c r="J20" s="2">
        <v>15000</v>
      </c>
      <c r="K20" s="2">
        <f t="shared" si="0"/>
        <v>4500</v>
      </c>
      <c r="L20" s="2">
        <f t="shared" si="1"/>
        <v>3250</v>
      </c>
      <c r="M20" s="2">
        <v>13000</v>
      </c>
      <c r="N20" s="2" t="s">
        <v>21</v>
      </c>
    </row>
    <row r="21" spans="1:14" x14ac:dyDescent="0.25">
      <c r="A21" s="3">
        <v>19</v>
      </c>
      <c r="B21" s="13">
        <v>46280</v>
      </c>
      <c r="C21" s="2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28</v>
      </c>
      <c r="J21" s="2">
        <v>10000</v>
      </c>
      <c r="K21" s="2">
        <f t="shared" si="0"/>
        <v>2000</v>
      </c>
      <c r="L21" s="2">
        <f t="shared" si="1"/>
        <v>3000</v>
      </c>
      <c r="M21" s="2">
        <v>10000</v>
      </c>
      <c r="N21" s="2" t="s">
        <v>21</v>
      </c>
    </row>
    <row r="22" spans="1:14" x14ac:dyDescent="0.25">
      <c r="A22" s="3">
        <v>20</v>
      </c>
      <c r="B22" s="13">
        <v>46280</v>
      </c>
      <c r="C22" s="2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19</v>
      </c>
      <c r="J22" s="2">
        <v>10000</v>
      </c>
      <c r="K22" s="2">
        <f t="shared" si="0"/>
        <v>3000</v>
      </c>
      <c r="L22" s="2">
        <f t="shared" si="1"/>
        <v>2167</v>
      </c>
      <c r="M22" s="2">
        <v>8666</v>
      </c>
      <c r="N22" s="2" t="s">
        <v>54</v>
      </c>
    </row>
    <row r="23" spans="1:14" x14ac:dyDescent="0.25">
      <c r="A23" s="3">
        <v>21</v>
      </c>
      <c r="B23" s="13">
        <v>46280</v>
      </c>
      <c r="C23" s="2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19</v>
      </c>
      <c r="J23" s="2">
        <v>20000</v>
      </c>
      <c r="K23" s="2">
        <f t="shared" si="0"/>
        <v>6000</v>
      </c>
      <c r="L23" s="2">
        <f t="shared" si="1"/>
        <v>4333</v>
      </c>
      <c r="M23" s="2">
        <v>17332</v>
      </c>
      <c r="N23" s="2" t="s">
        <v>21</v>
      </c>
    </row>
    <row r="24" spans="1:14" x14ac:dyDescent="0.25">
      <c r="A24" s="3">
        <v>22</v>
      </c>
      <c r="B24" s="13">
        <v>46280</v>
      </c>
      <c r="C24" s="2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19</v>
      </c>
      <c r="J24" s="2">
        <v>15000</v>
      </c>
      <c r="K24" s="2">
        <f t="shared" si="0"/>
        <v>4500</v>
      </c>
      <c r="L24" s="2">
        <f t="shared" si="1"/>
        <v>3250</v>
      </c>
      <c r="M24" s="2">
        <v>13000</v>
      </c>
      <c r="N24" s="2" t="s">
        <v>21</v>
      </c>
    </row>
    <row r="25" spans="1:14" ht="15.75" x14ac:dyDescent="0.25">
      <c r="A25" s="3">
        <v>23</v>
      </c>
      <c r="B25" s="13">
        <v>46280</v>
      </c>
      <c r="C25" s="2" t="s">
        <v>149</v>
      </c>
      <c r="D25" s="4" t="s">
        <v>23</v>
      </c>
      <c r="E25" s="4" t="s">
        <v>24</v>
      </c>
      <c r="F25" s="4" t="s">
        <v>25</v>
      </c>
      <c r="G25" s="4" t="s">
        <v>26</v>
      </c>
      <c r="H25" s="4" t="s">
        <v>27</v>
      </c>
      <c r="I25" s="2" t="s">
        <v>28</v>
      </c>
      <c r="J25" s="2">
        <v>15000</v>
      </c>
      <c r="K25" s="2">
        <f t="shared" si="0"/>
        <v>3000</v>
      </c>
      <c r="L25" s="2">
        <f t="shared" si="1"/>
        <v>4500</v>
      </c>
      <c r="M25" s="2">
        <v>9000</v>
      </c>
      <c r="N25" s="2" t="s">
        <v>21</v>
      </c>
    </row>
    <row r="26" spans="1:14" x14ac:dyDescent="0.25">
      <c r="A26" s="3">
        <v>24</v>
      </c>
      <c r="B26" s="13">
        <v>46282</v>
      </c>
      <c r="C26" s="2" t="s">
        <v>150</v>
      </c>
      <c r="D26" s="4" t="s">
        <v>151</v>
      </c>
      <c r="E26" s="4" t="s">
        <v>152</v>
      </c>
      <c r="F26" s="2" t="s">
        <v>153</v>
      </c>
      <c r="G26" s="4" t="s">
        <v>154</v>
      </c>
      <c r="H26" s="4" t="s">
        <v>155</v>
      </c>
      <c r="I26" s="4" t="s">
        <v>156</v>
      </c>
      <c r="J26" s="2">
        <v>10000</v>
      </c>
      <c r="K26" s="2">
        <f t="shared" si="0"/>
        <v>3000</v>
      </c>
      <c r="L26" s="2">
        <f t="shared" si="1"/>
        <v>2167</v>
      </c>
      <c r="M26" s="2">
        <v>10833</v>
      </c>
      <c r="N26" s="2" t="s">
        <v>21</v>
      </c>
    </row>
    <row r="27" spans="1:14" x14ac:dyDescent="0.25">
      <c r="A27" s="3">
        <v>25</v>
      </c>
      <c r="B27" s="13">
        <v>46282</v>
      </c>
      <c r="C27" s="2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19</v>
      </c>
      <c r="J27" s="2">
        <v>15000</v>
      </c>
      <c r="K27" s="2">
        <f t="shared" si="0"/>
        <v>4500</v>
      </c>
      <c r="L27" s="2">
        <f t="shared" si="1"/>
        <v>3250</v>
      </c>
      <c r="M27" s="2">
        <v>16250</v>
      </c>
      <c r="N27" s="2" t="s">
        <v>21</v>
      </c>
    </row>
    <row r="28" spans="1:14" x14ac:dyDescent="0.25">
      <c r="A28" s="3">
        <v>26</v>
      </c>
      <c r="B28" s="13">
        <v>46282</v>
      </c>
      <c r="C28" s="2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  <c r="H28" s="4" t="s">
        <v>168</v>
      </c>
      <c r="I28" s="4" t="s">
        <v>19</v>
      </c>
      <c r="J28" s="2">
        <v>8000</v>
      </c>
      <c r="K28" s="2">
        <f t="shared" si="0"/>
        <v>2000</v>
      </c>
      <c r="L28" s="2">
        <v>1883</v>
      </c>
      <c r="M28" s="2">
        <v>7617</v>
      </c>
      <c r="N28" s="2" t="s">
        <v>21</v>
      </c>
    </row>
    <row r="29" spans="1:14" x14ac:dyDescent="0.25">
      <c r="A29" s="3">
        <v>27</v>
      </c>
      <c r="B29" s="13">
        <v>46282</v>
      </c>
      <c r="C29" s="2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  <c r="H29" s="4" t="s">
        <v>174</v>
      </c>
      <c r="I29" s="4" t="s">
        <v>156</v>
      </c>
      <c r="J29" s="2">
        <v>10000</v>
      </c>
      <c r="K29" s="2">
        <f t="shared" si="0"/>
        <v>3000</v>
      </c>
      <c r="L29" s="2">
        <f t="shared" ref="L29:L39" si="2">ROUND((J29+K29)/IF(I29="4 weeks",4,IF(I29="6 weeks",6,0)),0)</f>
        <v>2167</v>
      </c>
      <c r="M29" s="2" t="s">
        <v>20</v>
      </c>
      <c r="N29" s="2" t="s">
        <v>54</v>
      </c>
    </row>
    <row r="30" spans="1:14" x14ac:dyDescent="0.25">
      <c r="A30" s="3">
        <v>28</v>
      </c>
      <c r="B30" s="13">
        <v>46282</v>
      </c>
      <c r="C30" s="2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  <c r="H30" s="4" t="s">
        <v>180</v>
      </c>
      <c r="I30" s="4" t="s">
        <v>19</v>
      </c>
      <c r="J30" s="2">
        <v>10000</v>
      </c>
      <c r="K30" s="2">
        <f t="shared" si="0"/>
        <v>3000</v>
      </c>
      <c r="L30" s="2">
        <f t="shared" si="2"/>
        <v>2167</v>
      </c>
      <c r="M30" s="2">
        <v>10833</v>
      </c>
      <c r="N30" s="2" t="s">
        <v>21</v>
      </c>
    </row>
    <row r="31" spans="1:14" x14ac:dyDescent="0.25">
      <c r="A31" s="3">
        <v>29</v>
      </c>
      <c r="B31" s="13">
        <v>46282</v>
      </c>
      <c r="C31" s="2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  <c r="H31" s="4" t="s">
        <v>186</v>
      </c>
      <c r="I31" s="4" t="s">
        <v>19</v>
      </c>
      <c r="J31" s="2">
        <v>8000</v>
      </c>
      <c r="K31" s="2">
        <f t="shared" si="0"/>
        <v>2000</v>
      </c>
      <c r="L31" s="2">
        <f t="shared" si="2"/>
        <v>1667</v>
      </c>
      <c r="M31" s="2">
        <v>8333</v>
      </c>
      <c r="N31" s="2" t="s">
        <v>54</v>
      </c>
    </row>
    <row r="32" spans="1:14" x14ac:dyDescent="0.25">
      <c r="A32" s="3">
        <v>30</v>
      </c>
      <c r="B32" s="13">
        <v>46283</v>
      </c>
      <c r="C32" s="2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  <c r="H32" s="4" t="s">
        <v>192</v>
      </c>
      <c r="I32" s="4" t="s">
        <v>19</v>
      </c>
      <c r="J32" s="2">
        <v>10000</v>
      </c>
      <c r="K32" s="2">
        <f t="shared" si="0"/>
        <v>3000</v>
      </c>
      <c r="L32" s="2">
        <f t="shared" si="2"/>
        <v>2167</v>
      </c>
      <c r="M32" s="2">
        <v>10833</v>
      </c>
      <c r="N32" s="2" t="s">
        <v>54</v>
      </c>
    </row>
    <row r="33" spans="1:14" x14ac:dyDescent="0.25">
      <c r="A33" s="3">
        <v>31</v>
      </c>
      <c r="B33" s="13">
        <v>46283</v>
      </c>
      <c r="C33" s="2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  <c r="H33" s="4" t="s">
        <v>198</v>
      </c>
      <c r="I33" s="4" t="s">
        <v>28</v>
      </c>
      <c r="J33" s="2">
        <v>30000</v>
      </c>
      <c r="K33" s="2">
        <f t="shared" si="0"/>
        <v>6000</v>
      </c>
      <c r="L33" s="2">
        <f t="shared" si="2"/>
        <v>9000</v>
      </c>
      <c r="M33" s="2">
        <v>27000</v>
      </c>
      <c r="N33" s="2" t="s">
        <v>21</v>
      </c>
    </row>
    <row r="34" spans="1:14" x14ac:dyDescent="0.25">
      <c r="A34" s="3">
        <v>32</v>
      </c>
      <c r="B34" s="13">
        <v>46283</v>
      </c>
      <c r="C34" s="2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  <c r="H34" s="4" t="s">
        <v>204</v>
      </c>
      <c r="I34" s="4" t="s">
        <v>19</v>
      </c>
      <c r="J34" s="2">
        <v>15000</v>
      </c>
      <c r="K34" s="2">
        <f t="shared" si="0"/>
        <v>4500</v>
      </c>
      <c r="L34" s="2">
        <f t="shared" si="2"/>
        <v>3250</v>
      </c>
      <c r="M34" s="2">
        <v>16250</v>
      </c>
      <c r="N34" s="2" t="s">
        <v>21</v>
      </c>
    </row>
    <row r="35" spans="1:14" x14ac:dyDescent="0.25">
      <c r="A35" s="3">
        <v>33</v>
      </c>
      <c r="B35" s="13">
        <v>46283</v>
      </c>
      <c r="C35" s="2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  <c r="H35" s="4" t="s">
        <v>210</v>
      </c>
      <c r="I35" s="4" t="s">
        <v>19</v>
      </c>
      <c r="J35" s="2">
        <v>15000</v>
      </c>
      <c r="K35" s="2">
        <f t="shared" si="0"/>
        <v>4500</v>
      </c>
      <c r="L35" s="2">
        <f t="shared" si="2"/>
        <v>3250</v>
      </c>
      <c r="M35" s="2">
        <v>16250</v>
      </c>
      <c r="N35" s="2" t="s">
        <v>54</v>
      </c>
    </row>
    <row r="36" spans="1:14" x14ac:dyDescent="0.25">
      <c r="A36" s="3">
        <v>34</v>
      </c>
      <c r="B36" s="13">
        <v>46287</v>
      </c>
      <c r="C36" s="2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  <c r="H36" s="4" t="s">
        <v>216</v>
      </c>
      <c r="I36" s="4" t="s">
        <v>156</v>
      </c>
      <c r="J36" s="2">
        <v>15000</v>
      </c>
      <c r="K36" s="2">
        <f t="shared" si="0"/>
        <v>4500</v>
      </c>
      <c r="L36" s="2">
        <f t="shared" si="2"/>
        <v>3250</v>
      </c>
      <c r="M36" s="2">
        <v>16250</v>
      </c>
      <c r="N36" s="2" t="s">
        <v>21</v>
      </c>
    </row>
    <row r="37" spans="1:14" x14ac:dyDescent="0.25">
      <c r="A37" s="3">
        <v>35</v>
      </c>
      <c r="B37" s="13">
        <v>46287</v>
      </c>
      <c r="C37" s="2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  <c r="H37" s="4" t="s">
        <v>222</v>
      </c>
      <c r="I37" s="4" t="s">
        <v>156</v>
      </c>
      <c r="J37" s="2">
        <v>10000</v>
      </c>
      <c r="K37" s="2">
        <f t="shared" si="0"/>
        <v>3000</v>
      </c>
      <c r="L37" s="2">
        <f t="shared" si="2"/>
        <v>2167</v>
      </c>
      <c r="M37" s="2">
        <v>10833</v>
      </c>
      <c r="N37" s="2" t="s">
        <v>21</v>
      </c>
    </row>
    <row r="38" spans="1:14" x14ac:dyDescent="0.25">
      <c r="A38" s="3">
        <v>36</v>
      </c>
      <c r="B38" s="13">
        <v>46287</v>
      </c>
      <c r="C38" s="2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s="4" t="s">
        <v>19</v>
      </c>
      <c r="J38" s="2">
        <v>20000</v>
      </c>
      <c r="K38" s="2">
        <f t="shared" si="0"/>
        <v>6000</v>
      </c>
      <c r="L38" s="2">
        <f t="shared" si="2"/>
        <v>4333</v>
      </c>
      <c r="M38" s="2">
        <v>23833</v>
      </c>
      <c r="N38" s="2" t="s">
        <v>21</v>
      </c>
    </row>
    <row r="39" spans="1:14" x14ac:dyDescent="0.25">
      <c r="A39" s="3">
        <v>37</v>
      </c>
      <c r="B39" s="13">
        <v>46287</v>
      </c>
      <c r="C39" s="2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  <c r="H39" s="4" t="s">
        <v>234</v>
      </c>
      <c r="I39" s="4" t="s">
        <v>156</v>
      </c>
      <c r="J39" s="2">
        <v>10000</v>
      </c>
      <c r="K39" s="2">
        <f t="shared" si="0"/>
        <v>3000</v>
      </c>
      <c r="L39" s="2">
        <f t="shared" si="2"/>
        <v>2167</v>
      </c>
      <c r="M39" s="2">
        <v>10833</v>
      </c>
      <c r="N39" s="2" t="s">
        <v>54</v>
      </c>
    </row>
    <row r="40" spans="1:14" x14ac:dyDescent="0.25">
      <c r="A40" s="3">
        <v>38</v>
      </c>
      <c r="B40" s="13">
        <v>46287</v>
      </c>
      <c r="C40" s="2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  <c r="H40" s="4" t="s">
        <v>240</v>
      </c>
      <c r="I40" s="4" t="s">
        <v>156</v>
      </c>
      <c r="J40" s="2">
        <v>10000</v>
      </c>
      <c r="K40" s="2">
        <v>3000</v>
      </c>
      <c r="L40" s="2">
        <v>2167</v>
      </c>
      <c r="M40" s="2">
        <v>10833</v>
      </c>
      <c r="N40" s="2" t="s">
        <v>21</v>
      </c>
    </row>
    <row r="41" spans="1:14" x14ac:dyDescent="0.25">
      <c r="A41" s="3">
        <v>39</v>
      </c>
      <c r="B41" s="13">
        <v>46287</v>
      </c>
      <c r="C41" s="2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  <c r="H41" s="4" t="s">
        <v>246</v>
      </c>
      <c r="I41" s="4" t="s">
        <v>19</v>
      </c>
      <c r="J41" s="2">
        <v>10000</v>
      </c>
      <c r="K41" s="2">
        <f t="shared" ref="K41:K49" si="3">IF(J41&lt;10000,2000,IF(I41="6 weeks",J41*30%,IF(I41="4 weeks",J41*20%,0)))</f>
        <v>3000</v>
      </c>
      <c r="L41" s="2">
        <f t="shared" ref="L41:L49" si="4">ROUND((J41+K41)/IF(I41="4 weeks",4,IF(I41="6 weeks",6,0)),0)</f>
        <v>2167</v>
      </c>
      <c r="M41" s="2">
        <v>11066</v>
      </c>
      <c r="N41" s="2" t="s">
        <v>54</v>
      </c>
    </row>
    <row r="42" spans="1:14" x14ac:dyDescent="0.25">
      <c r="A42" s="3">
        <v>40</v>
      </c>
      <c r="B42" s="13">
        <v>46287</v>
      </c>
      <c r="C42" s="2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  <c r="H42" s="4" t="s">
        <v>252</v>
      </c>
      <c r="I42" s="4" t="s">
        <v>19</v>
      </c>
      <c r="J42" s="2">
        <v>20000</v>
      </c>
      <c r="K42" s="2">
        <f t="shared" si="3"/>
        <v>6000</v>
      </c>
      <c r="L42" s="2">
        <f t="shared" si="4"/>
        <v>4333</v>
      </c>
      <c r="M42" s="2">
        <v>21666</v>
      </c>
      <c r="N42" s="2" t="s">
        <v>54</v>
      </c>
    </row>
    <row r="43" spans="1:14" x14ac:dyDescent="0.25">
      <c r="A43" s="3">
        <v>41</v>
      </c>
      <c r="B43" s="13">
        <v>46288</v>
      </c>
      <c r="C43" s="2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  <c r="H43" s="4" t="s">
        <v>258</v>
      </c>
      <c r="I43" s="4" t="s">
        <v>19</v>
      </c>
      <c r="J43" s="2">
        <v>15000</v>
      </c>
      <c r="K43" s="2">
        <f t="shared" si="3"/>
        <v>4500</v>
      </c>
      <c r="L43" s="2">
        <f t="shared" si="4"/>
        <v>3250</v>
      </c>
      <c r="M43" s="2">
        <v>16250</v>
      </c>
      <c r="N43" s="2" t="s">
        <v>54</v>
      </c>
    </row>
    <row r="44" spans="1:14" x14ac:dyDescent="0.25">
      <c r="A44" s="3">
        <v>42</v>
      </c>
      <c r="B44" s="13">
        <v>46288</v>
      </c>
      <c r="C44" s="2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  <c r="H44" s="4" t="s">
        <v>264</v>
      </c>
      <c r="I44" s="4" t="s">
        <v>156</v>
      </c>
      <c r="J44" s="2">
        <v>10000</v>
      </c>
      <c r="K44" s="2">
        <f t="shared" si="3"/>
        <v>3000</v>
      </c>
      <c r="L44" s="2">
        <f t="shared" si="4"/>
        <v>2167</v>
      </c>
      <c r="M44" s="2">
        <v>12000</v>
      </c>
      <c r="N44" s="2" t="s">
        <v>54</v>
      </c>
    </row>
    <row r="45" spans="1:14" x14ac:dyDescent="0.25">
      <c r="A45" s="3">
        <v>43</v>
      </c>
      <c r="B45" s="13">
        <v>46290</v>
      </c>
      <c r="C45" s="2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  <c r="H45" s="4" t="s">
        <v>270</v>
      </c>
      <c r="I45" s="4" t="s">
        <v>156</v>
      </c>
      <c r="J45" s="2">
        <v>10000</v>
      </c>
      <c r="K45" s="2">
        <f t="shared" si="3"/>
        <v>3000</v>
      </c>
      <c r="L45" s="2">
        <f t="shared" si="4"/>
        <v>2167</v>
      </c>
      <c r="M45" s="2">
        <v>13000</v>
      </c>
      <c r="N45" s="2" t="s">
        <v>54</v>
      </c>
    </row>
    <row r="46" spans="1:14" x14ac:dyDescent="0.25">
      <c r="A46" s="3">
        <v>44</v>
      </c>
      <c r="B46" s="13">
        <v>46290</v>
      </c>
      <c r="C46" s="2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  <c r="H46" s="4" t="s">
        <v>276</v>
      </c>
      <c r="I46" s="4" t="s">
        <v>156</v>
      </c>
      <c r="J46" s="2">
        <v>10000</v>
      </c>
      <c r="K46" s="2">
        <f t="shared" si="3"/>
        <v>3000</v>
      </c>
      <c r="L46" s="2">
        <f t="shared" si="4"/>
        <v>2167</v>
      </c>
      <c r="M46" s="2">
        <v>13000</v>
      </c>
      <c r="N46" s="2" t="s">
        <v>54</v>
      </c>
    </row>
    <row r="47" spans="1:14" x14ac:dyDescent="0.25">
      <c r="A47" s="3">
        <v>45</v>
      </c>
      <c r="B47" s="13">
        <v>46290</v>
      </c>
      <c r="C47" s="2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  <c r="H47" s="4" t="s">
        <v>282</v>
      </c>
      <c r="I47" s="4" t="s">
        <v>35</v>
      </c>
      <c r="J47" s="2">
        <v>20000</v>
      </c>
      <c r="K47" s="2">
        <f t="shared" si="3"/>
        <v>4000</v>
      </c>
      <c r="L47" s="2">
        <f t="shared" si="4"/>
        <v>6000</v>
      </c>
      <c r="M47" s="2">
        <v>18000</v>
      </c>
      <c r="N47" s="2" t="s">
        <v>21</v>
      </c>
    </row>
    <row r="48" spans="1:14" x14ac:dyDescent="0.25">
      <c r="A48" s="3">
        <v>46</v>
      </c>
      <c r="B48" s="13">
        <v>46293</v>
      </c>
      <c r="C48" s="2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  <c r="H48" s="4" t="s">
        <v>288</v>
      </c>
      <c r="I48" s="4" t="s">
        <v>19</v>
      </c>
      <c r="J48" s="2">
        <v>10000</v>
      </c>
      <c r="K48" s="2">
        <f t="shared" si="3"/>
        <v>3000</v>
      </c>
      <c r="L48" s="2">
        <f t="shared" si="4"/>
        <v>2167</v>
      </c>
      <c r="M48" s="2">
        <v>13000</v>
      </c>
      <c r="N48" s="2" t="s">
        <v>54</v>
      </c>
    </row>
    <row r="49" spans="1:14" x14ac:dyDescent="0.25">
      <c r="A49" s="3">
        <v>47</v>
      </c>
      <c r="B49" s="13">
        <v>46293</v>
      </c>
      <c r="C49" s="2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  <c r="H49" s="4" t="s">
        <v>294</v>
      </c>
      <c r="I49" s="4" t="s">
        <v>19</v>
      </c>
      <c r="J49" s="2">
        <v>10000</v>
      </c>
      <c r="K49" s="2">
        <f t="shared" si="3"/>
        <v>3000</v>
      </c>
      <c r="L49" s="2">
        <f t="shared" si="4"/>
        <v>2167</v>
      </c>
      <c r="M49" s="2">
        <v>13000</v>
      </c>
      <c r="N49" s="2" t="s">
        <v>54</v>
      </c>
    </row>
    <row r="50" spans="1:14" ht="15.75" x14ac:dyDescent="0.25">
      <c r="A50" s="3">
        <v>48</v>
      </c>
      <c r="B50" s="13">
        <v>46293</v>
      </c>
      <c r="C50" s="6" t="s">
        <v>295</v>
      </c>
      <c r="D50" s="4" t="s">
        <v>37</v>
      </c>
      <c r="E50" s="4" t="s">
        <v>38</v>
      </c>
      <c r="F50" s="4" t="s">
        <v>39</v>
      </c>
      <c r="G50" s="4" t="s">
        <v>40</v>
      </c>
      <c r="H50" s="4" t="s">
        <v>41</v>
      </c>
      <c r="I50" s="2" t="s">
        <v>28</v>
      </c>
      <c r="J50" s="2">
        <v>20000</v>
      </c>
      <c r="K50" s="2">
        <v>4000</v>
      </c>
      <c r="L50" s="2">
        <v>4334</v>
      </c>
      <c r="M50" s="2">
        <v>24000</v>
      </c>
      <c r="N50" s="2" t="s">
        <v>21</v>
      </c>
    </row>
    <row r="51" spans="1:14" x14ac:dyDescent="0.25">
      <c r="A51" s="3">
        <v>49</v>
      </c>
      <c r="B51" s="13">
        <v>46293</v>
      </c>
      <c r="C51" s="2" t="s">
        <v>86</v>
      </c>
      <c r="D51" s="4" t="s">
        <v>87</v>
      </c>
      <c r="E51" s="4" t="s">
        <v>88</v>
      </c>
      <c r="F51" s="4" t="s">
        <v>296</v>
      </c>
      <c r="G51" s="4" t="s">
        <v>297</v>
      </c>
      <c r="H51" s="4" t="s">
        <v>298</v>
      </c>
      <c r="I51" s="4" t="s">
        <v>28</v>
      </c>
      <c r="J51" s="2">
        <v>10000</v>
      </c>
      <c r="K51" s="2">
        <f>IF(J51&lt;10000,2000,IF(I51="6 weeks",J51*30%,IF(I51="4 weeks",J51*20%,0)))</f>
        <v>2000</v>
      </c>
      <c r="L51" s="2">
        <f>ROUND((J51+K51)/IF(I51="4 weeks",4,IF(I51="6 weeks",6,0)),0)</f>
        <v>3000</v>
      </c>
      <c r="M51" s="2">
        <v>12000</v>
      </c>
      <c r="N51" s="2" t="s">
        <v>21</v>
      </c>
    </row>
    <row r="52" spans="1:14" ht="15.75" x14ac:dyDescent="0.25">
      <c r="A52" s="3">
        <v>50</v>
      </c>
      <c r="B52" s="13">
        <v>46276</v>
      </c>
      <c r="C52" s="22" t="s">
        <v>299</v>
      </c>
      <c r="D52" s="4" t="s">
        <v>85</v>
      </c>
      <c r="E52" s="4" t="s">
        <v>27</v>
      </c>
      <c r="F52" s="4" t="s">
        <v>86</v>
      </c>
      <c r="G52" s="4" t="s">
        <v>87</v>
      </c>
      <c r="H52" s="4" t="s">
        <v>88</v>
      </c>
      <c r="I52" s="2" t="s">
        <v>28</v>
      </c>
      <c r="J52" s="2">
        <v>10000</v>
      </c>
      <c r="K52" s="2">
        <f>IF(J52&lt;10000,2000,IF(I52="6 weeks",J52*30%,IF(I52="4 weeks",J52*20%,0)))</f>
        <v>2000</v>
      </c>
      <c r="L52" s="2">
        <f>ROUND((J52+K52)/IF(I52="4 weeks",4,IF(I52="6 weeks",6,0)),0)</f>
        <v>3000</v>
      </c>
      <c r="M52" s="2">
        <v>12000</v>
      </c>
      <c r="N52" s="2" t="s">
        <v>21</v>
      </c>
    </row>
    <row r="53" spans="1:14" ht="15.75" x14ac:dyDescent="0.25">
      <c r="A53" s="3">
        <v>51</v>
      </c>
      <c r="B53" s="13">
        <v>46293</v>
      </c>
      <c r="C53" s="2" t="s">
        <v>300</v>
      </c>
      <c r="D53" s="4" t="s">
        <v>14</v>
      </c>
      <c r="E53" s="4" t="s">
        <v>15</v>
      </c>
      <c r="F53" s="4" t="s">
        <v>16</v>
      </c>
      <c r="G53" s="4" t="s">
        <v>17</v>
      </c>
      <c r="H53" s="4" t="s">
        <v>18</v>
      </c>
      <c r="I53" s="2" t="s">
        <v>19</v>
      </c>
      <c r="J53" s="2">
        <v>10000</v>
      </c>
      <c r="K53" s="2">
        <f>IF(J53&lt;10000,2000,IF(I53="6 weeks",J53*30%,IF(I53="4 weeks",J53*20%,0)))</f>
        <v>3000</v>
      </c>
      <c r="L53" s="2">
        <f>ROUND((J53+K53)/IF(I53="4 weeks",4,IF(I53="6 weeks",6,0)),0)</f>
        <v>2167</v>
      </c>
      <c r="M53" s="2">
        <v>13000</v>
      </c>
      <c r="N53" s="2" t="s">
        <v>21</v>
      </c>
    </row>
    <row r="54" spans="1:14" ht="15.75" x14ac:dyDescent="0.25">
      <c r="A54" s="3">
        <v>52</v>
      </c>
      <c r="B54" s="13">
        <v>46294</v>
      </c>
      <c r="C54" s="2" t="s">
        <v>301</v>
      </c>
      <c r="D54" s="4" t="s">
        <v>43</v>
      </c>
      <c r="E54" s="4" t="s">
        <v>44</v>
      </c>
      <c r="F54" s="4" t="s">
        <v>45</v>
      </c>
      <c r="G54" s="4" t="s">
        <v>46</v>
      </c>
      <c r="H54" s="4" t="s">
        <v>47</v>
      </c>
      <c r="I54" s="2" t="s">
        <v>28</v>
      </c>
      <c r="J54" s="2">
        <v>20000</v>
      </c>
      <c r="K54" s="2">
        <f>IF(J54&lt;10000,2000,IF(I54="6 weeks",J54*30%,IF(I54="4 weeks",J54*20%,0)))</f>
        <v>4000</v>
      </c>
      <c r="L54" s="2">
        <f>ROUND((J54+K54)/IF(I54="4 weeks",4,IF(I54="6 weeks",6,0)),0)</f>
        <v>6000</v>
      </c>
      <c r="M54" s="2">
        <v>24000</v>
      </c>
      <c r="N54" s="2" t="s">
        <v>21</v>
      </c>
    </row>
    <row r="55" spans="1:14" x14ac:dyDescent="0.25">
      <c r="A55" s="3">
        <v>53</v>
      </c>
      <c r="B55" s="13">
        <v>46294</v>
      </c>
      <c r="C55" s="2" t="s">
        <v>302</v>
      </c>
      <c r="D55" s="4" t="s">
        <v>303</v>
      </c>
      <c r="E55" s="4" t="s">
        <v>304</v>
      </c>
      <c r="F55" s="4" t="s">
        <v>305</v>
      </c>
      <c r="G55" s="4" t="s">
        <v>306</v>
      </c>
      <c r="H55" s="4" t="s">
        <v>307</v>
      </c>
      <c r="I55" s="2" t="s">
        <v>19</v>
      </c>
      <c r="J55" s="2">
        <v>12000</v>
      </c>
      <c r="K55" s="2">
        <f>IF(J55&lt;10000,2000,IF(I55="6 weeks",J55*30%,IF(I55="4 weeks",J55*20%,0)))</f>
        <v>3600</v>
      </c>
      <c r="L55" s="2">
        <f>ROUND((J55+K55)/IF(I55="4 weeks",4,IF(I55="6 weeks",6,0)),0)</f>
        <v>2600</v>
      </c>
      <c r="M55" s="2">
        <v>19600</v>
      </c>
      <c r="N55" s="2" t="s">
        <v>54</v>
      </c>
    </row>
    <row r="56" spans="1:14" x14ac:dyDescent="0.25">
      <c r="A56" s="3">
        <v>54</v>
      </c>
      <c r="B56" s="13">
        <v>46294</v>
      </c>
      <c r="C56" s="2" t="s">
        <v>308</v>
      </c>
      <c r="D56" s="4" t="s">
        <v>309</v>
      </c>
      <c r="E56" s="4" t="s">
        <v>310</v>
      </c>
      <c r="F56" s="4" t="s">
        <v>311</v>
      </c>
      <c r="G56" s="4" t="s">
        <v>312</v>
      </c>
      <c r="H56" s="4" t="s">
        <v>313</v>
      </c>
      <c r="I56" s="2" t="s">
        <v>35</v>
      </c>
      <c r="J56" s="2">
        <v>10000</v>
      </c>
      <c r="K56" s="2">
        <v>3000</v>
      </c>
      <c r="L56" s="2">
        <v>2167</v>
      </c>
      <c r="M56" s="2">
        <v>13000</v>
      </c>
      <c r="N56" s="2" t="s">
        <v>54</v>
      </c>
    </row>
    <row r="57" spans="1:14" ht="18.75" x14ac:dyDescent="0.3">
      <c r="A57" s="3">
        <v>55</v>
      </c>
      <c r="B57" s="17">
        <v>46297</v>
      </c>
      <c r="C57" s="18" t="s">
        <v>314</v>
      </c>
      <c r="D57" s="19" t="s">
        <v>315</v>
      </c>
      <c r="E57" s="19" t="s">
        <v>316</v>
      </c>
      <c r="F57" s="19" t="s">
        <v>317</v>
      </c>
      <c r="G57" s="19" t="s">
        <v>318</v>
      </c>
      <c r="H57" s="19" t="s">
        <v>319</v>
      </c>
      <c r="I57" s="20" t="s">
        <v>19</v>
      </c>
      <c r="J57" s="21">
        <v>7000</v>
      </c>
      <c r="K57" s="2">
        <v>2000</v>
      </c>
      <c r="L57" s="2">
        <v>1500</v>
      </c>
      <c r="M57" s="2">
        <v>9000</v>
      </c>
      <c r="N57" s="2" t="s">
        <v>54</v>
      </c>
    </row>
    <row r="58" spans="1:14" ht="18.75" x14ac:dyDescent="0.3">
      <c r="A58" s="3">
        <v>56</v>
      </c>
      <c r="B58" s="17">
        <v>46297</v>
      </c>
      <c r="C58" s="18" t="s">
        <v>320</v>
      </c>
      <c r="D58" s="19" t="s">
        <v>321</v>
      </c>
      <c r="E58" s="19" t="s">
        <v>322</v>
      </c>
      <c r="F58" s="19" t="s">
        <v>323</v>
      </c>
      <c r="G58" s="19" t="s">
        <v>324</v>
      </c>
      <c r="H58" s="19" t="s">
        <v>325</v>
      </c>
      <c r="I58" s="20" t="s">
        <v>19</v>
      </c>
      <c r="J58" s="21">
        <v>8000</v>
      </c>
      <c r="K58" s="2">
        <v>2000</v>
      </c>
      <c r="L58" s="2">
        <v>1667</v>
      </c>
      <c r="M58" s="2">
        <v>10000</v>
      </c>
      <c r="N58" s="2" t="s">
        <v>54</v>
      </c>
    </row>
    <row r="59" spans="1:14" ht="18.75" x14ac:dyDescent="0.3">
      <c r="A59" s="3">
        <v>57</v>
      </c>
      <c r="B59" s="17">
        <v>46297</v>
      </c>
      <c r="C59" s="18" t="s">
        <v>326</v>
      </c>
      <c r="D59" s="19" t="s">
        <v>327</v>
      </c>
      <c r="E59" s="19" t="s">
        <v>328</v>
      </c>
      <c r="F59" s="19" t="s">
        <v>329</v>
      </c>
      <c r="G59" s="19" t="s">
        <v>330</v>
      </c>
      <c r="H59" s="19" t="s">
        <v>331</v>
      </c>
      <c r="I59" s="20" t="s">
        <v>19</v>
      </c>
      <c r="J59" s="21">
        <v>8000</v>
      </c>
      <c r="K59" s="2">
        <v>2000</v>
      </c>
      <c r="L59" s="2">
        <v>1667</v>
      </c>
      <c r="M59" s="2">
        <v>10000</v>
      </c>
      <c r="N59" s="2" t="s">
        <v>21</v>
      </c>
    </row>
    <row r="60" spans="1:14" ht="26.25" x14ac:dyDescent="0.4">
      <c r="A60" s="3"/>
      <c r="B60" s="13"/>
      <c r="C60" s="7"/>
      <c r="D60" s="2"/>
      <c r="E60" s="2"/>
      <c r="F60" s="2"/>
      <c r="G60" s="2"/>
      <c r="H60" s="2"/>
      <c r="I60" s="2"/>
      <c r="J60" s="8">
        <f>SUM(J3:J56)</f>
        <v>711000</v>
      </c>
      <c r="K60" s="4"/>
      <c r="L60" s="9"/>
      <c r="M60" s="2"/>
      <c r="N60" s="2"/>
    </row>
    <row r="62" spans="1:14" ht="22.5" customHeight="1" x14ac:dyDescent="0.25">
      <c r="B62" s="16"/>
      <c r="C62" s="16"/>
      <c r="D62" s="16"/>
      <c r="E62" s="16"/>
      <c r="G62" s="16"/>
      <c r="H62" s="16"/>
      <c r="I62" s="16"/>
      <c r="J62" s="16"/>
    </row>
    <row r="63" spans="1:14" ht="18.75" customHeight="1" x14ac:dyDescent="0.25"/>
    <row r="64" spans="1:14" ht="24" customHeight="1" x14ac:dyDescent="0.25"/>
    <row r="65" spans="9:10" x14ac:dyDescent="0.25">
      <c r="I65" s="14"/>
      <c r="J6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B289-E561-463D-B139-65A7CFD5DABE}">
  <dimension ref="A1:O123"/>
  <sheetViews>
    <sheetView tabSelected="1" zoomScale="55" zoomScaleNormal="55" workbookViewId="0">
      <selection activeCell="I49" sqref="I49"/>
    </sheetView>
  </sheetViews>
  <sheetFormatPr defaultRowHeight="15" x14ac:dyDescent="0.25"/>
  <cols>
    <col min="1" max="1" width="33.85546875" bestFit="1" customWidth="1"/>
    <col min="2" max="2" width="21.42578125" customWidth="1"/>
    <col min="3" max="3" width="15" customWidth="1"/>
    <col min="4" max="4" width="14" customWidth="1"/>
    <col min="5" max="5" width="15.5703125" customWidth="1"/>
    <col min="6" max="7" width="18" customWidth="1"/>
    <col min="8" max="8" width="23.42578125" bestFit="1" customWidth="1"/>
    <col min="9" max="9" width="18" customWidth="1"/>
    <col min="10" max="10" width="12.85546875" customWidth="1"/>
    <col min="11" max="11" width="12.7109375" customWidth="1"/>
    <col min="12" max="12" width="23.140625" bestFit="1" customWidth="1"/>
    <col min="13" max="13" width="23.140625" customWidth="1"/>
    <col min="14" max="14" width="16.42578125" bestFit="1" customWidth="1"/>
    <col min="15" max="15" width="16.85546875" customWidth="1"/>
  </cols>
  <sheetData>
    <row r="1" spans="1:15" ht="15.75" x14ac:dyDescent="0.25">
      <c r="A1" s="23" t="s">
        <v>334</v>
      </c>
      <c r="B1" s="23" t="s">
        <v>644</v>
      </c>
      <c r="C1" s="23" t="s">
        <v>335</v>
      </c>
      <c r="D1" s="23" t="s">
        <v>343</v>
      </c>
      <c r="E1" s="23" t="s">
        <v>336</v>
      </c>
      <c r="F1" s="23" t="s">
        <v>337</v>
      </c>
      <c r="G1" s="23" t="s">
        <v>338</v>
      </c>
      <c r="H1" s="23" t="s">
        <v>339</v>
      </c>
      <c r="I1" s="23" t="s">
        <v>340</v>
      </c>
      <c r="J1" s="23" t="s">
        <v>341</v>
      </c>
      <c r="K1" s="24" t="s">
        <v>342</v>
      </c>
      <c r="L1" s="1" t="s">
        <v>5</v>
      </c>
      <c r="M1" s="1" t="s">
        <v>643</v>
      </c>
      <c r="N1" s="1" t="s">
        <v>7</v>
      </c>
      <c r="O1" s="24" t="s">
        <v>344</v>
      </c>
    </row>
    <row r="2" spans="1:15" x14ac:dyDescent="0.25">
      <c r="A2" t="s">
        <v>345</v>
      </c>
      <c r="B2">
        <v>715902352</v>
      </c>
      <c r="C2" s="25" t="s">
        <v>352</v>
      </c>
      <c r="D2" s="25" t="s">
        <v>351</v>
      </c>
      <c r="E2" t="s">
        <v>353</v>
      </c>
      <c r="F2">
        <v>7000</v>
      </c>
      <c r="G2" t="s">
        <v>354</v>
      </c>
      <c r="H2" s="26">
        <v>46059</v>
      </c>
      <c r="I2">
        <v>4901</v>
      </c>
      <c r="K2" t="s">
        <v>350</v>
      </c>
      <c r="L2" s="25" t="s">
        <v>355</v>
      </c>
      <c r="M2" s="25" t="s">
        <v>645</v>
      </c>
      <c r="N2" s="25" t="s">
        <v>646</v>
      </c>
      <c r="O2">
        <v>4901</v>
      </c>
    </row>
    <row r="3" spans="1:15" x14ac:dyDescent="0.25">
      <c r="A3" t="s">
        <v>346</v>
      </c>
      <c r="B3">
        <v>757231363</v>
      </c>
      <c r="C3">
        <v>37038237</v>
      </c>
      <c r="D3" s="25" t="s">
        <v>351</v>
      </c>
      <c r="E3" t="s">
        <v>356</v>
      </c>
      <c r="F3">
        <v>7000</v>
      </c>
      <c r="G3" t="s">
        <v>354</v>
      </c>
      <c r="H3" t="s">
        <v>357</v>
      </c>
      <c r="I3">
        <v>3161</v>
      </c>
      <c r="K3" t="s">
        <v>350</v>
      </c>
      <c r="L3" t="s">
        <v>358</v>
      </c>
      <c r="M3">
        <v>715415168</v>
      </c>
      <c r="O3">
        <v>3161</v>
      </c>
    </row>
    <row r="4" spans="1:15" x14ac:dyDescent="0.25">
      <c r="A4" t="s">
        <v>347</v>
      </c>
      <c r="B4">
        <v>110705114</v>
      </c>
      <c r="C4">
        <v>39970476</v>
      </c>
      <c r="D4" s="25" t="s">
        <v>351</v>
      </c>
      <c r="E4" t="s">
        <v>353</v>
      </c>
      <c r="F4">
        <v>7000</v>
      </c>
      <c r="G4" t="s">
        <v>359</v>
      </c>
      <c r="H4" t="s">
        <v>360</v>
      </c>
      <c r="I4">
        <v>5868</v>
      </c>
      <c r="K4" t="s">
        <v>350</v>
      </c>
      <c r="L4" t="s">
        <v>361</v>
      </c>
      <c r="M4">
        <v>707150369</v>
      </c>
      <c r="N4">
        <v>349527657</v>
      </c>
      <c r="O4">
        <v>5868</v>
      </c>
    </row>
    <row r="5" spans="1:15" x14ac:dyDescent="0.25">
      <c r="A5" t="s">
        <v>348</v>
      </c>
      <c r="B5">
        <v>790347176</v>
      </c>
      <c r="C5">
        <v>38266727</v>
      </c>
      <c r="D5" s="25" t="s">
        <v>351</v>
      </c>
      <c r="E5" t="s">
        <v>353</v>
      </c>
      <c r="F5">
        <v>7000</v>
      </c>
      <c r="G5" t="s">
        <v>354</v>
      </c>
      <c r="H5" t="s">
        <v>362</v>
      </c>
      <c r="I5">
        <v>5001</v>
      </c>
      <c r="K5" t="s">
        <v>350</v>
      </c>
      <c r="L5" t="s">
        <v>363</v>
      </c>
      <c r="M5">
        <v>110652867</v>
      </c>
      <c r="N5">
        <v>37250391</v>
      </c>
      <c r="O5">
        <v>5001</v>
      </c>
    </row>
    <row r="6" spans="1:15" x14ac:dyDescent="0.25">
      <c r="A6" t="s">
        <v>349</v>
      </c>
      <c r="B6">
        <v>796489357</v>
      </c>
      <c r="C6">
        <v>23730160</v>
      </c>
      <c r="D6" s="25" t="s">
        <v>351</v>
      </c>
      <c r="E6" t="s">
        <v>353</v>
      </c>
      <c r="F6">
        <v>7000</v>
      </c>
      <c r="G6" t="s">
        <v>359</v>
      </c>
      <c r="H6" t="s">
        <v>364</v>
      </c>
      <c r="I6">
        <v>1667</v>
      </c>
      <c r="K6" t="s">
        <v>350</v>
      </c>
      <c r="L6" t="s">
        <v>365</v>
      </c>
      <c r="M6">
        <v>729171575</v>
      </c>
      <c r="N6">
        <v>25781121</v>
      </c>
      <c r="O6">
        <v>1667</v>
      </c>
    </row>
    <row r="7" spans="1:15" x14ac:dyDescent="0.25">
      <c r="A7" t="s">
        <v>366</v>
      </c>
      <c r="B7">
        <v>724988443</v>
      </c>
      <c r="C7">
        <v>25424867</v>
      </c>
      <c r="D7" s="25" t="s">
        <v>351</v>
      </c>
      <c r="E7" t="s">
        <v>493</v>
      </c>
      <c r="F7">
        <v>15000</v>
      </c>
      <c r="G7" t="s">
        <v>354</v>
      </c>
      <c r="H7" s="26">
        <v>46087</v>
      </c>
      <c r="I7">
        <v>6050</v>
      </c>
      <c r="K7" t="s">
        <v>393</v>
      </c>
      <c r="L7" t="s">
        <v>494</v>
      </c>
      <c r="M7">
        <v>726102967</v>
      </c>
      <c r="N7">
        <v>28348693</v>
      </c>
      <c r="O7">
        <v>6050</v>
      </c>
    </row>
    <row r="8" spans="1:15" x14ac:dyDescent="0.25">
      <c r="A8" t="s">
        <v>367</v>
      </c>
      <c r="B8">
        <v>712556511</v>
      </c>
      <c r="C8">
        <v>36786253</v>
      </c>
      <c r="D8" s="25" t="s">
        <v>351</v>
      </c>
      <c r="E8" t="s">
        <v>353</v>
      </c>
      <c r="F8">
        <v>7000</v>
      </c>
      <c r="G8" t="s">
        <v>486</v>
      </c>
      <c r="H8" t="s">
        <v>504</v>
      </c>
      <c r="I8">
        <v>1750</v>
      </c>
      <c r="K8" t="s">
        <v>393</v>
      </c>
      <c r="L8" t="s">
        <v>505</v>
      </c>
      <c r="M8">
        <v>717771630</v>
      </c>
      <c r="N8">
        <v>36816538</v>
      </c>
      <c r="O8">
        <v>1750</v>
      </c>
    </row>
    <row r="9" spans="1:15" x14ac:dyDescent="0.25">
      <c r="A9" t="s">
        <v>368</v>
      </c>
      <c r="B9">
        <v>703913312</v>
      </c>
      <c r="C9">
        <v>41434940</v>
      </c>
      <c r="D9" s="25" t="s">
        <v>351</v>
      </c>
      <c r="E9" t="s">
        <v>353</v>
      </c>
      <c r="F9">
        <v>7000</v>
      </c>
      <c r="G9" t="s">
        <v>354</v>
      </c>
      <c r="H9" s="26">
        <v>46179</v>
      </c>
      <c r="I9">
        <v>3334</v>
      </c>
      <c r="K9" t="s">
        <v>393</v>
      </c>
      <c r="L9" t="s">
        <v>502</v>
      </c>
      <c r="M9">
        <v>704960470</v>
      </c>
      <c r="N9">
        <v>26889716</v>
      </c>
      <c r="O9">
        <v>3334</v>
      </c>
    </row>
    <row r="10" spans="1:15" x14ac:dyDescent="0.25">
      <c r="A10" t="s">
        <v>369</v>
      </c>
      <c r="B10">
        <v>796787883</v>
      </c>
      <c r="C10">
        <v>40305061</v>
      </c>
      <c r="D10" t="s">
        <v>351</v>
      </c>
      <c r="E10" t="s">
        <v>353</v>
      </c>
      <c r="F10">
        <v>9000</v>
      </c>
      <c r="G10" t="s">
        <v>486</v>
      </c>
      <c r="H10" s="26">
        <v>46059</v>
      </c>
      <c r="I10">
        <v>5800</v>
      </c>
      <c r="K10" t="s">
        <v>393</v>
      </c>
      <c r="L10" t="s">
        <v>487</v>
      </c>
      <c r="M10">
        <v>706222572</v>
      </c>
      <c r="N10">
        <v>31506203</v>
      </c>
      <c r="O10">
        <v>5800</v>
      </c>
    </row>
    <row r="11" spans="1:15" x14ac:dyDescent="0.25">
      <c r="A11" t="s">
        <v>370</v>
      </c>
      <c r="B11">
        <v>711780780</v>
      </c>
      <c r="C11">
        <v>12780232</v>
      </c>
      <c r="D11" t="s">
        <v>351</v>
      </c>
      <c r="E11" t="s">
        <v>353</v>
      </c>
      <c r="F11">
        <v>10000</v>
      </c>
      <c r="G11" t="s">
        <v>486</v>
      </c>
      <c r="H11" s="26">
        <v>46118</v>
      </c>
      <c r="I11">
        <v>5000</v>
      </c>
      <c r="K11" t="s">
        <v>393</v>
      </c>
      <c r="L11" t="s">
        <v>642</v>
      </c>
      <c r="M11">
        <v>793567983</v>
      </c>
      <c r="N11">
        <v>25784142</v>
      </c>
      <c r="O11">
        <v>5000</v>
      </c>
    </row>
    <row r="12" spans="1:15" x14ac:dyDescent="0.25">
      <c r="A12" t="s">
        <v>371</v>
      </c>
      <c r="B12">
        <v>721964881</v>
      </c>
      <c r="C12">
        <v>9857089</v>
      </c>
      <c r="D12" s="25" t="s">
        <v>351</v>
      </c>
      <c r="E12" t="s">
        <v>353</v>
      </c>
      <c r="F12">
        <v>9000</v>
      </c>
      <c r="G12" t="s">
        <v>354</v>
      </c>
      <c r="H12" s="26">
        <v>46059</v>
      </c>
      <c r="I12">
        <v>5770</v>
      </c>
      <c r="K12" t="s">
        <v>393</v>
      </c>
      <c r="L12" t="s">
        <v>514</v>
      </c>
      <c r="M12">
        <v>712124260</v>
      </c>
      <c r="N12">
        <v>41195624</v>
      </c>
      <c r="O12">
        <v>5770</v>
      </c>
    </row>
    <row r="13" spans="1:15" x14ac:dyDescent="0.25">
      <c r="A13" t="s">
        <v>372</v>
      </c>
      <c r="B13">
        <v>725931474</v>
      </c>
      <c r="C13">
        <v>11056862</v>
      </c>
      <c r="D13" s="25" t="s">
        <v>351</v>
      </c>
      <c r="E13" t="s">
        <v>353</v>
      </c>
      <c r="F13">
        <v>10000</v>
      </c>
      <c r="G13" t="s">
        <v>486</v>
      </c>
      <c r="H13" s="26">
        <v>46087</v>
      </c>
      <c r="I13">
        <v>6500</v>
      </c>
      <c r="K13" t="s">
        <v>393</v>
      </c>
      <c r="L13" t="s">
        <v>528</v>
      </c>
      <c r="M13">
        <v>115747119</v>
      </c>
      <c r="N13">
        <v>36927510</v>
      </c>
      <c r="O13">
        <v>6500</v>
      </c>
    </row>
    <row r="14" spans="1:15" x14ac:dyDescent="0.25">
      <c r="A14" t="s">
        <v>373</v>
      </c>
      <c r="B14">
        <v>705738790</v>
      </c>
      <c r="C14">
        <v>108171433</v>
      </c>
      <c r="D14" s="25" t="s">
        <v>351</v>
      </c>
      <c r="E14" t="s">
        <v>353</v>
      </c>
      <c r="F14">
        <v>7000</v>
      </c>
      <c r="G14" t="s">
        <v>354</v>
      </c>
      <c r="H14" s="26">
        <v>46240</v>
      </c>
      <c r="I14">
        <v>3668</v>
      </c>
      <c r="K14" t="s">
        <v>393</v>
      </c>
      <c r="L14" t="s">
        <v>503</v>
      </c>
      <c r="M14">
        <v>746731039</v>
      </c>
      <c r="N14">
        <v>26892520</v>
      </c>
      <c r="O14">
        <v>3668</v>
      </c>
    </row>
    <row r="15" spans="1:15" x14ac:dyDescent="0.25">
      <c r="A15" t="s">
        <v>374</v>
      </c>
      <c r="B15">
        <v>796890432</v>
      </c>
      <c r="C15">
        <v>23666488</v>
      </c>
      <c r="D15" s="25" t="s">
        <v>351</v>
      </c>
      <c r="E15" t="s">
        <v>353</v>
      </c>
      <c r="F15">
        <v>9000</v>
      </c>
      <c r="G15" t="s">
        <v>354</v>
      </c>
      <c r="H15" s="26">
        <v>46059</v>
      </c>
      <c r="I15">
        <v>5000</v>
      </c>
      <c r="K15" t="s">
        <v>393</v>
      </c>
      <c r="L15" t="s">
        <v>497</v>
      </c>
      <c r="M15">
        <v>797665428</v>
      </c>
      <c r="N15">
        <v>34464500</v>
      </c>
      <c r="O15">
        <v>5000</v>
      </c>
    </row>
    <row r="16" spans="1:15" x14ac:dyDescent="0.25">
      <c r="A16" t="s">
        <v>375</v>
      </c>
      <c r="B16">
        <v>711966584</v>
      </c>
      <c r="C16">
        <v>10189672</v>
      </c>
      <c r="D16" s="25" t="s">
        <v>351</v>
      </c>
      <c r="E16" t="s">
        <v>353</v>
      </c>
      <c r="F16">
        <v>7000</v>
      </c>
      <c r="G16" t="s">
        <v>354</v>
      </c>
      <c r="H16" t="s">
        <v>484</v>
      </c>
      <c r="I16">
        <v>1634</v>
      </c>
      <c r="K16" t="s">
        <v>393</v>
      </c>
      <c r="L16" t="s">
        <v>529</v>
      </c>
      <c r="M16">
        <v>720007189</v>
      </c>
      <c r="N16">
        <v>21941996</v>
      </c>
      <c r="O16">
        <v>1634</v>
      </c>
    </row>
    <row r="17" spans="1:15" x14ac:dyDescent="0.25">
      <c r="A17" t="s">
        <v>376</v>
      </c>
      <c r="B17">
        <v>790253833</v>
      </c>
      <c r="C17">
        <v>32552183</v>
      </c>
      <c r="D17" s="25" t="s">
        <v>351</v>
      </c>
      <c r="E17" t="s">
        <v>353</v>
      </c>
      <c r="F17">
        <v>9000</v>
      </c>
      <c r="G17" t="s">
        <v>354</v>
      </c>
      <c r="H17" s="26">
        <v>46059</v>
      </c>
      <c r="I17">
        <v>6000</v>
      </c>
      <c r="K17" t="s">
        <v>393</v>
      </c>
      <c r="L17" t="s">
        <v>496</v>
      </c>
      <c r="M17">
        <v>707932304</v>
      </c>
      <c r="N17">
        <v>25782797</v>
      </c>
      <c r="O17">
        <v>6000</v>
      </c>
    </row>
    <row r="18" spans="1:15" x14ac:dyDescent="0.25">
      <c r="A18" t="s">
        <v>377</v>
      </c>
      <c r="B18">
        <v>701516807</v>
      </c>
      <c r="C18">
        <v>10593160</v>
      </c>
      <c r="D18" s="25" t="s">
        <v>351</v>
      </c>
      <c r="E18" t="s">
        <v>493</v>
      </c>
      <c r="F18">
        <v>15000</v>
      </c>
      <c r="G18" t="s">
        <v>486</v>
      </c>
      <c r="H18" s="26">
        <v>46118</v>
      </c>
      <c r="I18">
        <v>5450</v>
      </c>
      <c r="K18" t="s">
        <v>393</v>
      </c>
      <c r="L18" t="s">
        <v>498</v>
      </c>
      <c r="M18">
        <v>716019974</v>
      </c>
      <c r="N18">
        <v>30820900</v>
      </c>
      <c r="O18">
        <v>5450</v>
      </c>
    </row>
    <row r="19" spans="1:15" x14ac:dyDescent="0.25">
      <c r="A19" t="s">
        <v>378</v>
      </c>
      <c r="B19">
        <v>708457828</v>
      </c>
      <c r="C19">
        <v>32104591</v>
      </c>
      <c r="D19" t="s">
        <v>351</v>
      </c>
      <c r="E19" t="s">
        <v>353</v>
      </c>
      <c r="F19">
        <v>7000</v>
      </c>
      <c r="G19" t="s">
        <v>359</v>
      </c>
      <c r="H19" t="s">
        <v>484</v>
      </c>
      <c r="I19">
        <v>284</v>
      </c>
      <c r="K19" t="s">
        <v>393</v>
      </c>
      <c r="L19" t="s">
        <v>485</v>
      </c>
      <c r="M19">
        <v>725157860</v>
      </c>
      <c r="N19">
        <v>20688781</v>
      </c>
      <c r="O19">
        <v>284</v>
      </c>
    </row>
    <row r="20" spans="1:15" x14ac:dyDescent="0.25">
      <c r="A20" t="s">
        <v>379</v>
      </c>
      <c r="B20">
        <v>705174137</v>
      </c>
      <c r="C20">
        <v>40558617</v>
      </c>
      <c r="D20" s="25" t="s">
        <v>351</v>
      </c>
      <c r="E20" t="s">
        <v>353</v>
      </c>
      <c r="F20">
        <v>8000</v>
      </c>
      <c r="G20" t="s">
        <v>354</v>
      </c>
      <c r="H20" s="26">
        <v>46118</v>
      </c>
      <c r="I20">
        <v>4545</v>
      </c>
      <c r="K20" t="s">
        <v>393</v>
      </c>
      <c r="L20" t="s">
        <v>499</v>
      </c>
      <c r="M20">
        <v>706754692</v>
      </c>
      <c r="N20">
        <v>31163604</v>
      </c>
      <c r="O20">
        <v>4545</v>
      </c>
    </row>
    <row r="21" spans="1:15" x14ac:dyDescent="0.25">
      <c r="A21" t="s">
        <v>380</v>
      </c>
      <c r="B21">
        <v>716382184</v>
      </c>
      <c r="C21">
        <v>24460441</v>
      </c>
      <c r="D21" t="s">
        <v>351</v>
      </c>
      <c r="E21" t="s">
        <v>353</v>
      </c>
      <c r="F21">
        <v>7000</v>
      </c>
      <c r="G21" t="s">
        <v>354</v>
      </c>
      <c r="H21" s="26">
        <v>46332</v>
      </c>
      <c r="I21">
        <v>1200</v>
      </c>
      <c r="K21" t="s">
        <v>393</v>
      </c>
      <c r="L21" t="s">
        <v>495</v>
      </c>
      <c r="M21">
        <v>707912038</v>
      </c>
      <c r="N21">
        <v>10967473</v>
      </c>
      <c r="O21">
        <v>1200</v>
      </c>
    </row>
    <row r="22" spans="1:15" x14ac:dyDescent="0.25">
      <c r="A22" t="s">
        <v>381</v>
      </c>
      <c r="B22">
        <v>759377654</v>
      </c>
      <c r="C22">
        <v>39458018</v>
      </c>
      <c r="D22" t="s">
        <v>351</v>
      </c>
      <c r="E22" t="s">
        <v>353</v>
      </c>
      <c r="F22">
        <v>7000</v>
      </c>
      <c r="G22" t="s">
        <v>486</v>
      </c>
      <c r="H22" t="s">
        <v>488</v>
      </c>
      <c r="I22">
        <v>800</v>
      </c>
      <c r="K22" t="s">
        <v>393</v>
      </c>
      <c r="L22" t="s">
        <v>489</v>
      </c>
      <c r="M22">
        <v>704756088</v>
      </c>
      <c r="N22">
        <v>893215947</v>
      </c>
      <c r="O22">
        <v>800</v>
      </c>
    </row>
    <row r="23" spans="1:15" x14ac:dyDescent="0.25">
      <c r="A23" t="s">
        <v>382</v>
      </c>
      <c r="B23">
        <v>794263448</v>
      </c>
      <c r="C23">
        <v>40204994</v>
      </c>
      <c r="D23" s="25" t="s">
        <v>351</v>
      </c>
      <c r="E23" t="s">
        <v>353</v>
      </c>
      <c r="F23">
        <v>7000</v>
      </c>
      <c r="G23" t="s">
        <v>354</v>
      </c>
      <c r="H23" s="26">
        <v>46334</v>
      </c>
      <c r="I23">
        <v>5852</v>
      </c>
      <c r="K23" t="s">
        <v>393</v>
      </c>
      <c r="L23" t="s">
        <v>530</v>
      </c>
      <c r="M23">
        <v>748351992</v>
      </c>
      <c r="N23">
        <v>35998365</v>
      </c>
      <c r="O23">
        <v>5852</v>
      </c>
    </row>
    <row r="24" spans="1:15" x14ac:dyDescent="0.25">
      <c r="A24" t="s">
        <v>383</v>
      </c>
      <c r="B24">
        <v>743055527</v>
      </c>
      <c r="C24">
        <v>34595667</v>
      </c>
      <c r="D24" t="s">
        <v>351</v>
      </c>
      <c r="E24" t="s">
        <v>353</v>
      </c>
      <c r="F24">
        <v>7000</v>
      </c>
      <c r="G24" t="s">
        <v>354</v>
      </c>
      <c r="H24" t="s">
        <v>506</v>
      </c>
      <c r="I24">
        <v>5168</v>
      </c>
      <c r="K24" t="s">
        <v>393</v>
      </c>
      <c r="L24" t="s">
        <v>507</v>
      </c>
      <c r="M24">
        <v>724069463</v>
      </c>
      <c r="N24">
        <v>25544733</v>
      </c>
      <c r="O24">
        <v>5168</v>
      </c>
    </row>
    <row r="25" spans="1:15" x14ac:dyDescent="0.25">
      <c r="A25" t="s">
        <v>384</v>
      </c>
      <c r="B25">
        <v>701198711</v>
      </c>
      <c r="C25">
        <v>25770301</v>
      </c>
      <c r="D25" t="s">
        <v>351</v>
      </c>
      <c r="E25" t="s">
        <v>353</v>
      </c>
      <c r="F25">
        <v>10000</v>
      </c>
      <c r="G25" t="s">
        <v>354</v>
      </c>
      <c r="H25" s="26">
        <v>46240</v>
      </c>
      <c r="I25">
        <v>8001</v>
      </c>
      <c r="K25" t="s">
        <v>393</v>
      </c>
      <c r="L25" t="s">
        <v>501</v>
      </c>
      <c r="M25">
        <v>711237766</v>
      </c>
      <c r="N25">
        <v>26346450</v>
      </c>
      <c r="O25">
        <v>8001</v>
      </c>
    </row>
    <row r="26" spans="1:15" x14ac:dyDescent="0.25">
      <c r="A26" t="s">
        <v>385</v>
      </c>
      <c r="B26">
        <v>748787503</v>
      </c>
      <c r="C26">
        <v>29338176</v>
      </c>
      <c r="D26" t="s">
        <v>351</v>
      </c>
      <c r="E26" t="s">
        <v>353</v>
      </c>
      <c r="F26">
        <v>10000</v>
      </c>
      <c r="G26" t="s">
        <v>354</v>
      </c>
      <c r="H26" s="26">
        <v>46179</v>
      </c>
      <c r="I26">
        <v>6868</v>
      </c>
      <c r="K26" t="s">
        <v>393</v>
      </c>
      <c r="L26" t="s">
        <v>500</v>
      </c>
      <c r="M26">
        <v>724471648</v>
      </c>
      <c r="N26">
        <v>24094906</v>
      </c>
      <c r="O26">
        <v>6868</v>
      </c>
    </row>
    <row r="27" spans="1:15" x14ac:dyDescent="0.25">
      <c r="A27" t="s">
        <v>386</v>
      </c>
      <c r="B27">
        <v>714213696</v>
      </c>
      <c r="C27">
        <v>21246820</v>
      </c>
      <c r="D27" t="s">
        <v>351</v>
      </c>
      <c r="E27" t="s">
        <v>353</v>
      </c>
      <c r="F27">
        <v>9000</v>
      </c>
      <c r="G27" t="s">
        <v>354</v>
      </c>
      <c r="H27" t="s">
        <v>490</v>
      </c>
      <c r="I27">
        <v>5000</v>
      </c>
      <c r="K27" t="s">
        <v>393</v>
      </c>
      <c r="L27" t="s">
        <v>491</v>
      </c>
      <c r="M27">
        <v>746612455</v>
      </c>
      <c r="N27">
        <v>33051895</v>
      </c>
      <c r="O27">
        <v>5000</v>
      </c>
    </row>
    <row r="28" spans="1:15" x14ac:dyDescent="0.25">
      <c r="A28" t="s">
        <v>387</v>
      </c>
      <c r="B28">
        <v>705886960</v>
      </c>
      <c r="C28">
        <v>23950856</v>
      </c>
      <c r="D28" t="s">
        <v>351</v>
      </c>
      <c r="E28" t="s">
        <v>353</v>
      </c>
      <c r="F28">
        <v>8000</v>
      </c>
      <c r="G28" t="s">
        <v>354</v>
      </c>
      <c r="H28" s="26">
        <v>46303</v>
      </c>
      <c r="I28">
        <v>5886</v>
      </c>
      <c r="K28" t="s">
        <v>393</v>
      </c>
      <c r="L28" t="s">
        <v>531</v>
      </c>
      <c r="M28">
        <v>769584756</v>
      </c>
      <c r="N28">
        <v>22658674</v>
      </c>
      <c r="O28">
        <v>5886</v>
      </c>
    </row>
    <row r="29" spans="1:15" x14ac:dyDescent="0.25">
      <c r="A29" t="s">
        <v>388</v>
      </c>
      <c r="B29">
        <v>714370930</v>
      </c>
      <c r="C29">
        <v>27789422</v>
      </c>
      <c r="D29" t="s">
        <v>351</v>
      </c>
      <c r="E29" t="s">
        <v>353</v>
      </c>
      <c r="F29">
        <v>10000</v>
      </c>
      <c r="G29" t="s">
        <v>354</v>
      </c>
      <c r="H29" t="s">
        <v>532</v>
      </c>
      <c r="I29">
        <v>699</v>
      </c>
      <c r="K29" t="s">
        <v>393</v>
      </c>
      <c r="L29" t="s">
        <v>533</v>
      </c>
      <c r="M29" s="30">
        <v>725550192</v>
      </c>
      <c r="N29">
        <v>13728411</v>
      </c>
      <c r="O29">
        <v>699</v>
      </c>
    </row>
    <row r="30" spans="1:15" x14ac:dyDescent="0.25">
      <c r="A30" t="s">
        <v>389</v>
      </c>
      <c r="B30">
        <v>757230450</v>
      </c>
      <c r="C30">
        <v>31641149</v>
      </c>
      <c r="D30" t="s">
        <v>351</v>
      </c>
      <c r="E30" t="s">
        <v>353</v>
      </c>
      <c r="F30">
        <v>7000</v>
      </c>
      <c r="G30" t="s">
        <v>354</v>
      </c>
      <c r="H30" s="26">
        <v>46211</v>
      </c>
      <c r="I30">
        <v>2667</v>
      </c>
      <c r="K30" t="s">
        <v>393</v>
      </c>
      <c r="L30" t="s">
        <v>534</v>
      </c>
      <c r="M30" s="30">
        <v>710609563</v>
      </c>
      <c r="N30">
        <v>23652425</v>
      </c>
      <c r="O30">
        <v>2667</v>
      </c>
    </row>
    <row r="31" spans="1:15" x14ac:dyDescent="0.25">
      <c r="A31" t="s">
        <v>641</v>
      </c>
      <c r="B31">
        <v>707472431</v>
      </c>
      <c r="C31">
        <v>29647822</v>
      </c>
      <c r="D31" t="s">
        <v>351</v>
      </c>
      <c r="E31" t="s">
        <v>353</v>
      </c>
      <c r="F31">
        <v>7000</v>
      </c>
      <c r="G31" t="s">
        <v>354</v>
      </c>
      <c r="H31" s="26">
        <v>46121</v>
      </c>
      <c r="I31">
        <v>3334</v>
      </c>
      <c r="K31" t="s">
        <v>393</v>
      </c>
      <c r="L31" t="s">
        <v>535</v>
      </c>
      <c r="M31">
        <v>721336912</v>
      </c>
      <c r="N31">
        <v>22984068</v>
      </c>
      <c r="O31">
        <v>3601</v>
      </c>
    </row>
    <row r="32" spans="1:15" x14ac:dyDescent="0.25">
      <c r="A32" t="s">
        <v>390</v>
      </c>
      <c r="B32">
        <v>729875857</v>
      </c>
      <c r="C32">
        <v>13204306</v>
      </c>
      <c r="D32" t="s">
        <v>351</v>
      </c>
      <c r="E32" t="s">
        <v>353</v>
      </c>
      <c r="F32">
        <v>10000</v>
      </c>
      <c r="G32" t="s">
        <v>486</v>
      </c>
      <c r="H32" s="26">
        <v>46148</v>
      </c>
      <c r="I32">
        <v>5500</v>
      </c>
      <c r="K32" t="s">
        <v>393</v>
      </c>
      <c r="L32" t="s">
        <v>536</v>
      </c>
      <c r="M32">
        <v>799653239</v>
      </c>
      <c r="N32">
        <v>13057211</v>
      </c>
      <c r="O32">
        <v>5500</v>
      </c>
    </row>
    <row r="33" spans="1:15" x14ac:dyDescent="0.25">
      <c r="A33" t="s">
        <v>391</v>
      </c>
      <c r="B33">
        <v>795366039</v>
      </c>
      <c r="C33">
        <v>25846660</v>
      </c>
      <c r="D33" t="s">
        <v>351</v>
      </c>
      <c r="E33" t="s">
        <v>353</v>
      </c>
      <c r="F33">
        <v>7000</v>
      </c>
      <c r="G33" t="s">
        <v>354</v>
      </c>
      <c r="H33" s="26">
        <v>46243</v>
      </c>
      <c r="I33">
        <v>5001</v>
      </c>
      <c r="K33" t="s">
        <v>393</v>
      </c>
      <c r="L33" t="s">
        <v>537</v>
      </c>
      <c r="M33">
        <v>794481636</v>
      </c>
      <c r="N33">
        <v>35928433</v>
      </c>
      <c r="O33">
        <v>3934</v>
      </c>
    </row>
    <row r="34" spans="1:15" x14ac:dyDescent="0.25">
      <c r="A34" t="s">
        <v>392</v>
      </c>
      <c r="B34">
        <v>706656148</v>
      </c>
      <c r="C34">
        <v>26620909</v>
      </c>
      <c r="D34" t="s">
        <v>351</v>
      </c>
      <c r="E34" t="s">
        <v>353</v>
      </c>
      <c r="F34">
        <v>7000</v>
      </c>
      <c r="G34" t="s">
        <v>354</v>
      </c>
      <c r="H34" s="26">
        <v>46304</v>
      </c>
      <c r="I34">
        <v>5001</v>
      </c>
      <c r="K34" t="s">
        <v>393</v>
      </c>
      <c r="L34" t="s">
        <v>538</v>
      </c>
      <c r="M34">
        <v>768068293</v>
      </c>
      <c r="N34">
        <v>39028223</v>
      </c>
      <c r="O34">
        <v>2084</v>
      </c>
    </row>
    <row r="35" spans="1:15" x14ac:dyDescent="0.25">
      <c r="A35" t="s">
        <v>394</v>
      </c>
      <c r="B35">
        <v>746365638</v>
      </c>
      <c r="C35">
        <v>39779366</v>
      </c>
      <c r="D35" t="s">
        <v>351</v>
      </c>
      <c r="E35" t="s">
        <v>353</v>
      </c>
      <c r="F35">
        <v>7000</v>
      </c>
      <c r="G35" t="s">
        <v>354</v>
      </c>
      <c r="H35" t="s">
        <v>508</v>
      </c>
      <c r="I35">
        <v>7135</v>
      </c>
      <c r="K35" t="s">
        <v>445</v>
      </c>
      <c r="L35" t="s">
        <v>509</v>
      </c>
      <c r="M35">
        <v>715182095</v>
      </c>
      <c r="N35">
        <v>26998279</v>
      </c>
      <c r="O35">
        <v>7135</v>
      </c>
    </row>
    <row r="36" spans="1:15" x14ac:dyDescent="0.25">
      <c r="A36" t="s">
        <v>395</v>
      </c>
      <c r="B36">
        <v>715363435</v>
      </c>
      <c r="C36">
        <v>23725649</v>
      </c>
      <c r="D36" t="s">
        <v>351</v>
      </c>
      <c r="E36" t="s">
        <v>353</v>
      </c>
      <c r="F36">
        <v>7000</v>
      </c>
      <c r="G36" t="s">
        <v>354</v>
      </c>
      <c r="H36" s="26">
        <v>46058</v>
      </c>
      <c r="I36">
        <v>2688</v>
      </c>
      <c r="K36" t="s">
        <v>445</v>
      </c>
      <c r="L36" t="s">
        <v>647</v>
      </c>
      <c r="M36">
        <v>701317272</v>
      </c>
      <c r="N36">
        <v>368156135</v>
      </c>
      <c r="O36">
        <v>2688</v>
      </c>
    </row>
    <row r="37" spans="1:15" x14ac:dyDescent="0.25">
      <c r="A37" t="s">
        <v>396</v>
      </c>
      <c r="B37">
        <v>720233892</v>
      </c>
      <c r="C37">
        <v>23742451</v>
      </c>
      <c r="D37" t="s">
        <v>351</v>
      </c>
      <c r="E37" t="s">
        <v>353</v>
      </c>
      <c r="F37">
        <v>7000</v>
      </c>
      <c r="G37" t="s">
        <v>354</v>
      </c>
      <c r="H37" s="26">
        <v>46301</v>
      </c>
      <c r="I37">
        <v>5001</v>
      </c>
      <c r="K37" t="s">
        <v>445</v>
      </c>
      <c r="L37" t="s">
        <v>513</v>
      </c>
      <c r="M37">
        <v>716938810</v>
      </c>
      <c r="N37">
        <v>11775469</v>
      </c>
      <c r="O37">
        <v>5001</v>
      </c>
    </row>
    <row r="38" spans="1:15" x14ac:dyDescent="0.25">
      <c r="A38" t="s">
        <v>397</v>
      </c>
      <c r="B38">
        <v>721996908</v>
      </c>
      <c r="C38">
        <v>31156525</v>
      </c>
      <c r="D38" t="s">
        <v>351</v>
      </c>
      <c r="E38" t="s">
        <v>353</v>
      </c>
      <c r="F38">
        <v>7000</v>
      </c>
      <c r="G38" t="s">
        <v>354</v>
      </c>
      <c r="H38" t="s">
        <v>510</v>
      </c>
      <c r="I38">
        <v>1267</v>
      </c>
      <c r="K38" t="s">
        <v>445</v>
      </c>
      <c r="L38" t="s">
        <v>511</v>
      </c>
      <c r="M38">
        <v>759659653</v>
      </c>
      <c r="N38">
        <v>13451895</v>
      </c>
      <c r="O38">
        <v>1267</v>
      </c>
    </row>
    <row r="39" spans="1:15" x14ac:dyDescent="0.25">
      <c r="A39" t="s">
        <v>398</v>
      </c>
      <c r="B39">
        <v>798043246</v>
      </c>
      <c r="C39">
        <v>28030279</v>
      </c>
      <c r="D39" t="s">
        <v>351</v>
      </c>
      <c r="E39" t="s">
        <v>353</v>
      </c>
      <c r="F39">
        <v>7000</v>
      </c>
      <c r="G39" t="s">
        <v>354</v>
      </c>
      <c r="H39" t="s">
        <v>539</v>
      </c>
      <c r="I39">
        <v>4335</v>
      </c>
      <c r="K39" t="s">
        <v>445</v>
      </c>
      <c r="L39" t="s">
        <v>540</v>
      </c>
      <c r="M39">
        <v>720371967</v>
      </c>
      <c r="N39">
        <v>22091654</v>
      </c>
      <c r="O39">
        <v>4335</v>
      </c>
    </row>
    <row r="40" spans="1:15" x14ac:dyDescent="0.25">
      <c r="A40" t="s">
        <v>399</v>
      </c>
      <c r="B40">
        <v>715690487</v>
      </c>
      <c r="C40">
        <v>22091500</v>
      </c>
      <c r="D40" t="s">
        <v>351</v>
      </c>
      <c r="E40" t="s">
        <v>353</v>
      </c>
      <c r="F40">
        <v>7000</v>
      </c>
      <c r="G40" t="s">
        <v>354</v>
      </c>
      <c r="H40" t="s">
        <v>484</v>
      </c>
      <c r="I40">
        <v>6135</v>
      </c>
      <c r="K40" t="s">
        <v>445</v>
      </c>
      <c r="L40" t="s">
        <v>541</v>
      </c>
      <c r="M40">
        <v>711286456</v>
      </c>
      <c r="N40">
        <v>22127208</v>
      </c>
      <c r="O40">
        <v>6135</v>
      </c>
    </row>
    <row r="41" spans="1:15" x14ac:dyDescent="0.25">
      <c r="A41" t="s">
        <v>400</v>
      </c>
      <c r="B41">
        <v>768932840</v>
      </c>
      <c r="C41">
        <v>31538490</v>
      </c>
      <c r="D41" t="s">
        <v>351</v>
      </c>
      <c r="E41" t="s">
        <v>353</v>
      </c>
      <c r="F41">
        <v>7000</v>
      </c>
      <c r="G41" t="s">
        <v>354</v>
      </c>
      <c r="H41" s="26">
        <v>46029</v>
      </c>
      <c r="I41">
        <v>4335</v>
      </c>
      <c r="K41" t="s">
        <v>445</v>
      </c>
      <c r="L41" t="s">
        <v>542</v>
      </c>
      <c r="M41">
        <v>729899929</v>
      </c>
      <c r="O41">
        <v>4335</v>
      </c>
    </row>
    <row r="42" spans="1:15" x14ac:dyDescent="0.25">
      <c r="A42" t="s">
        <v>401</v>
      </c>
      <c r="B42">
        <v>712769147</v>
      </c>
      <c r="C42">
        <v>35413612</v>
      </c>
      <c r="D42" t="s">
        <v>351</v>
      </c>
      <c r="E42" t="s">
        <v>353</v>
      </c>
      <c r="F42">
        <v>7000</v>
      </c>
      <c r="G42" t="s">
        <v>354</v>
      </c>
      <c r="H42" t="s">
        <v>490</v>
      </c>
      <c r="I42">
        <v>6668</v>
      </c>
      <c r="K42" t="s">
        <v>445</v>
      </c>
      <c r="L42" t="s">
        <v>520</v>
      </c>
      <c r="M42">
        <v>715830481</v>
      </c>
      <c r="N42">
        <v>25624478</v>
      </c>
      <c r="O42">
        <v>6668</v>
      </c>
    </row>
    <row r="43" spans="1:15" x14ac:dyDescent="0.25">
      <c r="A43" t="s">
        <v>402</v>
      </c>
      <c r="B43">
        <v>714200118</v>
      </c>
      <c r="C43">
        <v>25063634</v>
      </c>
      <c r="D43" t="s">
        <v>351</v>
      </c>
      <c r="E43" t="s">
        <v>353</v>
      </c>
      <c r="F43">
        <v>7000</v>
      </c>
      <c r="G43" t="s">
        <v>359</v>
      </c>
      <c r="H43" t="s">
        <v>516</v>
      </c>
      <c r="I43">
        <v>5101</v>
      </c>
      <c r="K43" t="s">
        <v>445</v>
      </c>
      <c r="L43" t="s">
        <v>517</v>
      </c>
      <c r="M43">
        <v>706155478</v>
      </c>
      <c r="N43">
        <v>165079264</v>
      </c>
      <c r="O43">
        <v>5101</v>
      </c>
    </row>
    <row r="44" spans="1:15" x14ac:dyDescent="0.25">
      <c r="A44" t="s">
        <v>403</v>
      </c>
      <c r="B44">
        <v>722401247</v>
      </c>
      <c r="C44">
        <v>759093</v>
      </c>
      <c r="D44" t="s">
        <v>351</v>
      </c>
      <c r="E44" t="s">
        <v>353</v>
      </c>
      <c r="F44">
        <v>7000</v>
      </c>
      <c r="G44" t="s">
        <v>354</v>
      </c>
      <c r="H44" t="s">
        <v>510</v>
      </c>
      <c r="I44">
        <v>2367</v>
      </c>
      <c r="K44" t="s">
        <v>445</v>
      </c>
      <c r="L44" t="s">
        <v>523</v>
      </c>
      <c r="M44">
        <v>705091557</v>
      </c>
      <c r="N44">
        <v>13101053</v>
      </c>
      <c r="O44">
        <v>2367</v>
      </c>
    </row>
    <row r="45" spans="1:15" x14ac:dyDescent="0.25">
      <c r="A45" t="s">
        <v>404</v>
      </c>
      <c r="B45">
        <v>725986031</v>
      </c>
      <c r="C45">
        <v>22919746</v>
      </c>
      <c r="D45" t="s">
        <v>351</v>
      </c>
      <c r="E45" t="s">
        <v>353</v>
      </c>
      <c r="F45">
        <v>10000</v>
      </c>
      <c r="G45" t="s">
        <v>354</v>
      </c>
      <c r="H45" s="26">
        <v>46148</v>
      </c>
      <c r="I45">
        <v>4334</v>
      </c>
      <c r="K45" t="s">
        <v>445</v>
      </c>
      <c r="L45" t="s">
        <v>543</v>
      </c>
      <c r="M45">
        <v>704205719</v>
      </c>
      <c r="N45">
        <v>26017696</v>
      </c>
      <c r="O45">
        <v>4334</v>
      </c>
    </row>
    <row r="46" spans="1:15" x14ac:dyDescent="0.25">
      <c r="A46" t="s">
        <v>405</v>
      </c>
      <c r="B46">
        <v>706515204</v>
      </c>
      <c r="C46">
        <v>759386</v>
      </c>
      <c r="D46" t="s">
        <v>351</v>
      </c>
      <c r="E46" t="s">
        <v>353</v>
      </c>
      <c r="F46">
        <v>7000</v>
      </c>
      <c r="G46" t="s">
        <v>354</v>
      </c>
      <c r="H46" t="s">
        <v>484</v>
      </c>
      <c r="I46">
        <v>1924</v>
      </c>
      <c r="K46" t="s">
        <v>445</v>
      </c>
      <c r="L46" t="s">
        <v>521</v>
      </c>
      <c r="M46">
        <v>101729433</v>
      </c>
      <c r="N46">
        <v>29740359</v>
      </c>
      <c r="O46">
        <v>1924</v>
      </c>
    </row>
    <row r="47" spans="1:15" x14ac:dyDescent="0.25">
      <c r="A47" t="s">
        <v>406</v>
      </c>
      <c r="B47">
        <v>793026895</v>
      </c>
      <c r="C47">
        <v>11806791</v>
      </c>
      <c r="D47" t="s">
        <v>351</v>
      </c>
      <c r="E47" t="s">
        <v>353</v>
      </c>
      <c r="F47">
        <v>7000</v>
      </c>
      <c r="G47" t="s">
        <v>354</v>
      </c>
      <c r="H47" t="s">
        <v>516</v>
      </c>
      <c r="I47">
        <v>5001</v>
      </c>
      <c r="K47" t="s">
        <v>445</v>
      </c>
      <c r="L47" t="s">
        <v>544</v>
      </c>
      <c r="M47">
        <v>702703013</v>
      </c>
      <c r="N47">
        <v>26396493</v>
      </c>
      <c r="O47">
        <v>5001</v>
      </c>
    </row>
    <row r="48" spans="1:15" x14ac:dyDescent="0.25">
      <c r="A48" t="s">
        <v>407</v>
      </c>
      <c r="B48">
        <v>723117536</v>
      </c>
      <c r="C48">
        <v>35079381</v>
      </c>
      <c r="D48" t="s">
        <v>351</v>
      </c>
      <c r="E48" t="s">
        <v>353</v>
      </c>
      <c r="F48">
        <v>7000</v>
      </c>
      <c r="G48" t="s">
        <v>354</v>
      </c>
      <c r="H48" s="26">
        <v>46271</v>
      </c>
      <c r="I48">
        <v>5002</v>
      </c>
      <c r="K48" t="s">
        <v>445</v>
      </c>
      <c r="L48" t="s">
        <v>545</v>
      </c>
      <c r="M48">
        <v>707464364</v>
      </c>
      <c r="N48">
        <v>36601297</v>
      </c>
      <c r="O48">
        <v>5002</v>
      </c>
    </row>
    <row r="49" spans="1:15" x14ac:dyDescent="0.25">
      <c r="A49" t="s">
        <v>408</v>
      </c>
      <c r="B49">
        <v>797805679</v>
      </c>
      <c r="C49">
        <v>21461019</v>
      </c>
      <c r="D49" t="s">
        <v>351</v>
      </c>
      <c r="E49" t="s">
        <v>353</v>
      </c>
      <c r="F49">
        <v>7000</v>
      </c>
      <c r="G49" t="s">
        <v>354</v>
      </c>
      <c r="H49" t="s">
        <v>360</v>
      </c>
      <c r="I49" s="31">
        <v>3048</v>
      </c>
      <c r="K49" t="s">
        <v>445</v>
      </c>
      <c r="L49" t="s">
        <v>524</v>
      </c>
      <c r="M49">
        <v>720371967</v>
      </c>
      <c r="N49">
        <v>22091654</v>
      </c>
      <c r="O49" s="27">
        <v>3048</v>
      </c>
    </row>
    <row r="50" spans="1:15" x14ac:dyDescent="0.25">
      <c r="A50" t="s">
        <v>409</v>
      </c>
      <c r="B50">
        <v>726399801</v>
      </c>
      <c r="C50">
        <v>1408385</v>
      </c>
      <c r="D50" t="s">
        <v>351</v>
      </c>
      <c r="E50" t="s">
        <v>353</v>
      </c>
      <c r="F50">
        <v>10000</v>
      </c>
      <c r="G50" t="s">
        <v>486</v>
      </c>
      <c r="H50" t="s">
        <v>510</v>
      </c>
      <c r="I50">
        <v>5102</v>
      </c>
      <c r="K50" t="s">
        <v>445</v>
      </c>
      <c r="L50" t="s">
        <v>518</v>
      </c>
      <c r="M50">
        <v>724008778</v>
      </c>
      <c r="N50">
        <v>7492064</v>
      </c>
      <c r="O50">
        <v>5102</v>
      </c>
    </row>
    <row r="51" spans="1:15" x14ac:dyDescent="0.25">
      <c r="A51" t="s">
        <v>410</v>
      </c>
      <c r="B51">
        <v>794404111</v>
      </c>
      <c r="C51">
        <v>35612620</v>
      </c>
      <c r="D51" t="s">
        <v>351</v>
      </c>
      <c r="E51" t="s">
        <v>353</v>
      </c>
      <c r="F51">
        <v>7000</v>
      </c>
      <c r="G51" t="s">
        <v>354</v>
      </c>
      <c r="H51" s="26">
        <v>46087</v>
      </c>
      <c r="I51">
        <v>6668</v>
      </c>
      <c r="K51" t="s">
        <v>445</v>
      </c>
      <c r="L51" t="s">
        <v>436</v>
      </c>
      <c r="M51">
        <v>759205575</v>
      </c>
      <c r="N51">
        <v>26923738</v>
      </c>
      <c r="O51">
        <v>6668</v>
      </c>
    </row>
    <row r="52" spans="1:15" x14ac:dyDescent="0.25">
      <c r="A52" t="s">
        <v>411</v>
      </c>
      <c r="B52">
        <v>117665073</v>
      </c>
      <c r="C52">
        <v>36996924</v>
      </c>
      <c r="D52" t="s">
        <v>351</v>
      </c>
      <c r="E52" t="s">
        <v>353</v>
      </c>
      <c r="F52">
        <v>7000</v>
      </c>
      <c r="G52" t="s">
        <v>354</v>
      </c>
      <c r="H52" t="s">
        <v>546</v>
      </c>
      <c r="I52">
        <v>1667</v>
      </c>
      <c r="K52" t="s">
        <v>445</v>
      </c>
      <c r="L52" t="s">
        <v>547</v>
      </c>
      <c r="M52">
        <v>713692495</v>
      </c>
      <c r="N52">
        <v>24410136</v>
      </c>
      <c r="O52">
        <v>1667</v>
      </c>
    </row>
    <row r="53" spans="1:15" x14ac:dyDescent="0.25">
      <c r="A53" t="s">
        <v>412</v>
      </c>
      <c r="B53">
        <v>701791746</v>
      </c>
      <c r="C53">
        <v>35181503</v>
      </c>
      <c r="D53" t="s">
        <v>351</v>
      </c>
      <c r="E53" t="s">
        <v>353</v>
      </c>
      <c r="F53">
        <v>7000</v>
      </c>
      <c r="G53" t="s">
        <v>354</v>
      </c>
      <c r="H53" s="26">
        <v>46240</v>
      </c>
      <c r="I53">
        <v>3334</v>
      </c>
      <c r="K53" t="s">
        <v>445</v>
      </c>
      <c r="L53" t="s">
        <v>548</v>
      </c>
      <c r="M53">
        <v>725093862</v>
      </c>
      <c r="N53">
        <v>5560310</v>
      </c>
      <c r="O53">
        <v>3334</v>
      </c>
    </row>
    <row r="54" spans="1:15" x14ac:dyDescent="0.25">
      <c r="A54" t="s">
        <v>413</v>
      </c>
      <c r="B54">
        <v>111680642</v>
      </c>
      <c r="C54">
        <v>32121779</v>
      </c>
      <c r="D54" t="s">
        <v>351</v>
      </c>
      <c r="E54" t="s">
        <v>353</v>
      </c>
      <c r="F54">
        <v>7000</v>
      </c>
      <c r="G54" t="s">
        <v>354</v>
      </c>
      <c r="H54" s="26">
        <v>46087</v>
      </c>
      <c r="I54">
        <v>5001</v>
      </c>
      <c r="K54" t="s">
        <v>445</v>
      </c>
      <c r="L54" t="s">
        <v>549</v>
      </c>
      <c r="M54">
        <v>706222670</v>
      </c>
      <c r="N54">
        <v>27813983</v>
      </c>
      <c r="O54">
        <v>5001</v>
      </c>
    </row>
    <row r="55" spans="1:15" x14ac:dyDescent="0.25">
      <c r="A55" t="s">
        <v>414</v>
      </c>
      <c r="B55">
        <v>725870048</v>
      </c>
      <c r="C55">
        <v>13101861</v>
      </c>
      <c r="D55" t="s">
        <v>351</v>
      </c>
      <c r="E55" t="s">
        <v>353</v>
      </c>
      <c r="F55">
        <v>7000</v>
      </c>
      <c r="G55" t="s">
        <v>354</v>
      </c>
      <c r="H55" t="s">
        <v>490</v>
      </c>
      <c r="I55">
        <v>5055</v>
      </c>
      <c r="K55" t="s">
        <v>445</v>
      </c>
      <c r="L55" t="s">
        <v>550</v>
      </c>
      <c r="M55">
        <v>707053410</v>
      </c>
      <c r="N55">
        <v>24069845</v>
      </c>
      <c r="O55">
        <v>5055</v>
      </c>
    </row>
    <row r="56" spans="1:15" x14ac:dyDescent="0.25">
      <c r="A56" t="s">
        <v>415</v>
      </c>
      <c r="B56">
        <v>743662912</v>
      </c>
      <c r="C56">
        <v>20905006</v>
      </c>
      <c r="D56" t="s">
        <v>351</v>
      </c>
      <c r="E56" t="s">
        <v>353</v>
      </c>
      <c r="F56">
        <v>7000</v>
      </c>
      <c r="G56" t="s">
        <v>354</v>
      </c>
      <c r="H56" t="s">
        <v>551</v>
      </c>
      <c r="I56">
        <v>6001</v>
      </c>
      <c r="K56" t="s">
        <v>445</v>
      </c>
      <c r="L56" t="s">
        <v>552</v>
      </c>
      <c r="M56">
        <v>713344585</v>
      </c>
      <c r="N56">
        <v>11629992</v>
      </c>
      <c r="O56">
        <v>6001</v>
      </c>
    </row>
    <row r="57" spans="1:15" x14ac:dyDescent="0.25">
      <c r="A57" t="s">
        <v>416</v>
      </c>
      <c r="B57">
        <v>758796378</v>
      </c>
      <c r="C57">
        <v>23888450</v>
      </c>
      <c r="D57" t="s">
        <v>351</v>
      </c>
      <c r="E57" t="s">
        <v>353</v>
      </c>
      <c r="F57">
        <v>7000</v>
      </c>
      <c r="G57" t="s">
        <v>354</v>
      </c>
      <c r="H57" t="s">
        <v>508</v>
      </c>
      <c r="I57">
        <v>4468</v>
      </c>
      <c r="K57" t="s">
        <v>445</v>
      </c>
      <c r="L57" t="s">
        <v>553</v>
      </c>
      <c r="M57">
        <v>713207741</v>
      </c>
      <c r="N57">
        <v>27957586</v>
      </c>
      <c r="O57">
        <v>4468</v>
      </c>
    </row>
    <row r="58" spans="1:15" x14ac:dyDescent="0.25">
      <c r="A58" t="s">
        <v>417</v>
      </c>
      <c r="B58">
        <v>721730653</v>
      </c>
      <c r="C58">
        <v>34602461</v>
      </c>
      <c r="D58" t="s">
        <v>351</v>
      </c>
      <c r="E58" t="s">
        <v>353</v>
      </c>
      <c r="F58">
        <v>7000</v>
      </c>
      <c r="G58" t="s">
        <v>354</v>
      </c>
      <c r="H58" s="26">
        <v>46301</v>
      </c>
      <c r="I58">
        <v>4335</v>
      </c>
      <c r="K58" t="s">
        <v>445</v>
      </c>
      <c r="L58" t="s">
        <v>554</v>
      </c>
      <c r="M58">
        <v>759568454</v>
      </c>
      <c r="N58">
        <v>37847623</v>
      </c>
      <c r="O58">
        <v>4335</v>
      </c>
    </row>
    <row r="59" spans="1:15" x14ac:dyDescent="0.25">
      <c r="A59" t="s">
        <v>418</v>
      </c>
      <c r="B59">
        <v>716331873</v>
      </c>
      <c r="C59">
        <v>36462397</v>
      </c>
      <c r="D59" t="s">
        <v>351</v>
      </c>
      <c r="E59" t="s">
        <v>353</v>
      </c>
      <c r="F59">
        <v>7000</v>
      </c>
      <c r="G59" t="s">
        <v>354</v>
      </c>
      <c r="H59" t="s">
        <v>555</v>
      </c>
      <c r="I59">
        <v>4592</v>
      </c>
      <c r="K59" t="s">
        <v>445</v>
      </c>
      <c r="L59" t="s">
        <v>426</v>
      </c>
      <c r="M59">
        <v>792818343</v>
      </c>
      <c r="N59">
        <v>34867135</v>
      </c>
      <c r="O59">
        <v>4592</v>
      </c>
    </row>
    <row r="60" spans="1:15" x14ac:dyDescent="0.25">
      <c r="A60" t="s">
        <v>419</v>
      </c>
      <c r="B60">
        <v>740880703</v>
      </c>
      <c r="C60">
        <v>31528500</v>
      </c>
      <c r="D60" t="s">
        <v>351</v>
      </c>
      <c r="E60" t="s">
        <v>353</v>
      </c>
      <c r="F60">
        <v>7000</v>
      </c>
      <c r="G60" t="s">
        <v>354</v>
      </c>
      <c r="H60" t="s">
        <v>556</v>
      </c>
      <c r="I60">
        <v>5001</v>
      </c>
      <c r="K60" t="s">
        <v>445</v>
      </c>
      <c r="L60" t="s">
        <v>557</v>
      </c>
      <c r="M60">
        <v>745342069</v>
      </c>
      <c r="N60">
        <v>32723982</v>
      </c>
      <c r="O60">
        <v>5001</v>
      </c>
    </row>
    <row r="61" spans="1:15" x14ac:dyDescent="0.25">
      <c r="A61" t="s">
        <v>420</v>
      </c>
      <c r="B61">
        <v>707932304</v>
      </c>
      <c r="C61">
        <v>25782797</v>
      </c>
      <c r="D61" t="s">
        <v>351</v>
      </c>
      <c r="E61" t="s">
        <v>353</v>
      </c>
      <c r="F61">
        <v>7000</v>
      </c>
      <c r="G61" t="s">
        <v>354</v>
      </c>
      <c r="H61" t="s">
        <v>558</v>
      </c>
      <c r="I61">
        <v>4000</v>
      </c>
      <c r="K61" t="s">
        <v>445</v>
      </c>
      <c r="L61" t="s">
        <v>559</v>
      </c>
      <c r="M61">
        <v>115615068</v>
      </c>
      <c r="N61">
        <v>24023073</v>
      </c>
      <c r="O61">
        <v>4000</v>
      </c>
    </row>
    <row r="62" spans="1:15" x14ac:dyDescent="0.25">
      <c r="A62" t="s">
        <v>421</v>
      </c>
      <c r="B62">
        <v>758332036</v>
      </c>
      <c r="C62">
        <v>26008814</v>
      </c>
      <c r="D62" t="s">
        <v>351</v>
      </c>
      <c r="E62" t="s">
        <v>353</v>
      </c>
      <c r="F62">
        <v>7000</v>
      </c>
      <c r="G62" t="s">
        <v>354</v>
      </c>
      <c r="H62" t="s">
        <v>560</v>
      </c>
      <c r="I62">
        <v>3334</v>
      </c>
      <c r="K62" t="s">
        <v>445</v>
      </c>
      <c r="L62" t="s">
        <v>561</v>
      </c>
      <c r="M62">
        <v>742696987</v>
      </c>
      <c r="N62">
        <v>26593055</v>
      </c>
      <c r="O62">
        <v>3334</v>
      </c>
    </row>
    <row r="63" spans="1:15" x14ac:dyDescent="0.25">
      <c r="A63" t="s">
        <v>422</v>
      </c>
      <c r="B63">
        <v>718869366</v>
      </c>
      <c r="C63">
        <v>13725593</v>
      </c>
      <c r="D63" t="s">
        <v>351</v>
      </c>
      <c r="E63" t="s">
        <v>353</v>
      </c>
      <c r="F63">
        <v>8000</v>
      </c>
      <c r="G63" t="s">
        <v>354</v>
      </c>
      <c r="H63" t="s">
        <v>562</v>
      </c>
      <c r="I63">
        <v>4835</v>
      </c>
      <c r="K63" t="s">
        <v>445</v>
      </c>
      <c r="L63" t="s">
        <v>563</v>
      </c>
      <c r="M63">
        <v>110373555</v>
      </c>
      <c r="N63">
        <v>32312363</v>
      </c>
      <c r="O63">
        <v>4835</v>
      </c>
    </row>
    <row r="64" spans="1:15" x14ac:dyDescent="0.25">
      <c r="A64" t="s">
        <v>423</v>
      </c>
      <c r="B64">
        <v>706222670</v>
      </c>
      <c r="C64">
        <v>2783982</v>
      </c>
      <c r="D64" t="s">
        <v>351</v>
      </c>
      <c r="E64" t="s">
        <v>353</v>
      </c>
      <c r="F64">
        <v>7000</v>
      </c>
      <c r="G64" t="s">
        <v>354</v>
      </c>
      <c r="H64" t="s">
        <v>508</v>
      </c>
      <c r="I64">
        <v>4335</v>
      </c>
      <c r="K64" t="s">
        <v>445</v>
      </c>
      <c r="L64" t="s">
        <v>564</v>
      </c>
      <c r="M64">
        <v>716488957</v>
      </c>
      <c r="N64">
        <v>27796386</v>
      </c>
      <c r="O64">
        <v>4335</v>
      </c>
    </row>
    <row r="65" spans="1:15" x14ac:dyDescent="0.25">
      <c r="A65" s="31" t="s">
        <v>424</v>
      </c>
      <c r="B65" s="31">
        <v>728106198</v>
      </c>
      <c r="C65">
        <v>26656524</v>
      </c>
      <c r="D65" t="s">
        <v>351</v>
      </c>
      <c r="E65" t="s">
        <v>353</v>
      </c>
      <c r="F65">
        <v>7000</v>
      </c>
      <c r="G65" t="s">
        <v>354</v>
      </c>
      <c r="H65" t="s">
        <v>490</v>
      </c>
      <c r="I65">
        <v>4784</v>
      </c>
      <c r="K65" t="s">
        <v>445</v>
      </c>
      <c r="L65" t="s">
        <v>565</v>
      </c>
      <c r="M65">
        <v>708513765</v>
      </c>
      <c r="N65">
        <v>21837201</v>
      </c>
      <c r="O65">
        <v>4784</v>
      </c>
    </row>
    <row r="66" spans="1:15" x14ac:dyDescent="0.25">
      <c r="A66" t="s">
        <v>425</v>
      </c>
      <c r="B66">
        <v>113835351</v>
      </c>
      <c r="C66">
        <v>25801641</v>
      </c>
      <c r="D66" t="s">
        <v>351</v>
      </c>
      <c r="E66" t="s">
        <v>353</v>
      </c>
      <c r="F66">
        <v>7000</v>
      </c>
      <c r="G66" t="s">
        <v>354</v>
      </c>
      <c r="H66" t="s">
        <v>566</v>
      </c>
      <c r="I66">
        <v>6668</v>
      </c>
      <c r="K66" t="s">
        <v>445</v>
      </c>
      <c r="L66" t="s">
        <v>567</v>
      </c>
      <c r="M66">
        <v>713401866</v>
      </c>
      <c r="N66">
        <v>41699853</v>
      </c>
      <c r="O66">
        <v>6668</v>
      </c>
    </row>
    <row r="67" spans="1:15" x14ac:dyDescent="0.25">
      <c r="A67" t="s">
        <v>426</v>
      </c>
      <c r="B67">
        <v>712868309</v>
      </c>
      <c r="C67">
        <v>21047438</v>
      </c>
      <c r="D67" t="s">
        <v>351</v>
      </c>
      <c r="E67" t="s">
        <v>353</v>
      </c>
      <c r="F67">
        <v>7000</v>
      </c>
      <c r="G67" t="s">
        <v>354</v>
      </c>
      <c r="H67" s="26">
        <v>46271</v>
      </c>
      <c r="I67">
        <v>6668</v>
      </c>
      <c r="K67" t="s">
        <v>445</v>
      </c>
      <c r="L67" t="s">
        <v>568</v>
      </c>
      <c r="M67">
        <v>799198150</v>
      </c>
      <c r="N67">
        <v>32034052</v>
      </c>
      <c r="O67">
        <v>6668</v>
      </c>
    </row>
    <row r="68" spans="1:15" x14ac:dyDescent="0.25">
      <c r="A68" t="s">
        <v>427</v>
      </c>
      <c r="B68">
        <v>729038410</v>
      </c>
      <c r="C68">
        <v>21993106</v>
      </c>
      <c r="D68" t="s">
        <v>351</v>
      </c>
      <c r="E68" t="s">
        <v>353</v>
      </c>
      <c r="F68">
        <v>7000</v>
      </c>
      <c r="G68" t="s">
        <v>354</v>
      </c>
      <c r="H68" s="26">
        <v>46240</v>
      </c>
      <c r="I68">
        <v>4367</v>
      </c>
      <c r="K68" t="s">
        <v>445</v>
      </c>
      <c r="L68" t="s">
        <v>569</v>
      </c>
      <c r="M68">
        <v>727418092</v>
      </c>
      <c r="N68">
        <v>3415630</v>
      </c>
      <c r="O68">
        <v>4367</v>
      </c>
    </row>
    <row r="69" spans="1:15" x14ac:dyDescent="0.25">
      <c r="A69" t="s">
        <v>428</v>
      </c>
      <c r="B69">
        <v>790473403</v>
      </c>
      <c r="C69">
        <v>19594792</v>
      </c>
      <c r="D69" t="s">
        <v>351</v>
      </c>
      <c r="E69" t="s">
        <v>353</v>
      </c>
      <c r="F69">
        <v>7000</v>
      </c>
      <c r="G69" t="s">
        <v>354</v>
      </c>
      <c r="H69" s="26">
        <v>46240</v>
      </c>
      <c r="I69">
        <v>6668</v>
      </c>
      <c r="K69" t="s">
        <v>445</v>
      </c>
      <c r="L69" t="s">
        <v>570</v>
      </c>
      <c r="M69">
        <v>710308224</v>
      </c>
      <c r="N69">
        <v>36817892</v>
      </c>
      <c r="O69">
        <v>6668</v>
      </c>
    </row>
    <row r="70" spans="1:15" x14ac:dyDescent="0.25">
      <c r="A70" t="s">
        <v>429</v>
      </c>
      <c r="B70">
        <v>704964590</v>
      </c>
      <c r="C70">
        <v>37115552</v>
      </c>
      <c r="D70" t="s">
        <v>351</v>
      </c>
      <c r="E70" t="s">
        <v>353</v>
      </c>
      <c r="F70">
        <v>7000</v>
      </c>
      <c r="G70" t="s">
        <v>354</v>
      </c>
      <c r="H70" t="s">
        <v>519</v>
      </c>
      <c r="I70">
        <v>1667</v>
      </c>
      <c r="K70" t="s">
        <v>445</v>
      </c>
      <c r="L70" t="s">
        <v>400</v>
      </c>
      <c r="M70">
        <v>768932840</v>
      </c>
      <c r="N70">
        <v>31538490</v>
      </c>
      <c r="O70">
        <v>1667</v>
      </c>
    </row>
    <row r="71" spans="1:15" x14ac:dyDescent="0.25">
      <c r="A71" t="s">
        <v>430</v>
      </c>
      <c r="B71">
        <v>142290902</v>
      </c>
      <c r="C71">
        <v>26778518</v>
      </c>
      <c r="D71" t="s">
        <v>351</v>
      </c>
      <c r="E71" t="s">
        <v>353</v>
      </c>
      <c r="F71">
        <v>7000</v>
      </c>
      <c r="G71" t="s">
        <v>486</v>
      </c>
      <c r="H71" t="s">
        <v>484</v>
      </c>
      <c r="I71">
        <v>3950</v>
      </c>
      <c r="K71" t="s">
        <v>445</v>
      </c>
      <c r="L71" t="s">
        <v>527</v>
      </c>
      <c r="M71">
        <v>720792912</v>
      </c>
      <c r="N71">
        <v>25746587</v>
      </c>
      <c r="O71">
        <v>3950</v>
      </c>
    </row>
    <row r="72" spans="1:15" x14ac:dyDescent="0.25">
      <c r="A72" t="s">
        <v>431</v>
      </c>
      <c r="B72">
        <v>721378747</v>
      </c>
      <c r="C72">
        <v>26778518</v>
      </c>
      <c r="D72" t="s">
        <v>351</v>
      </c>
      <c r="E72" t="s">
        <v>353</v>
      </c>
      <c r="F72">
        <v>7000</v>
      </c>
      <c r="G72" t="s">
        <v>354</v>
      </c>
      <c r="H72" t="s">
        <v>519</v>
      </c>
      <c r="I72">
        <v>5002</v>
      </c>
      <c r="K72" t="s">
        <v>445</v>
      </c>
      <c r="L72" t="s">
        <v>571</v>
      </c>
      <c r="M72">
        <v>722306653</v>
      </c>
      <c r="N72">
        <v>10732442</v>
      </c>
      <c r="O72">
        <v>5002</v>
      </c>
    </row>
    <row r="73" spans="1:15" x14ac:dyDescent="0.25">
      <c r="A73" t="s">
        <v>432</v>
      </c>
      <c r="B73">
        <v>769484745</v>
      </c>
      <c r="C73">
        <v>21965784</v>
      </c>
      <c r="D73" t="s">
        <v>351</v>
      </c>
      <c r="E73" t="s">
        <v>353</v>
      </c>
      <c r="F73">
        <v>7000</v>
      </c>
      <c r="G73" t="s">
        <v>486</v>
      </c>
      <c r="H73" t="s">
        <v>572</v>
      </c>
      <c r="I73">
        <v>4500</v>
      </c>
      <c r="K73" t="s">
        <v>445</v>
      </c>
      <c r="L73" t="s">
        <v>573</v>
      </c>
      <c r="M73">
        <v>28987308</v>
      </c>
      <c r="O73">
        <v>4500</v>
      </c>
    </row>
    <row r="74" spans="1:15" x14ac:dyDescent="0.25">
      <c r="A74" t="s">
        <v>433</v>
      </c>
      <c r="B74">
        <v>742151766</v>
      </c>
      <c r="C74">
        <v>31594239</v>
      </c>
      <c r="D74" t="s">
        <v>351</v>
      </c>
      <c r="E74" t="s">
        <v>353</v>
      </c>
      <c r="F74">
        <v>10000</v>
      </c>
      <c r="G74" t="s">
        <v>354</v>
      </c>
      <c r="H74" t="s">
        <v>510</v>
      </c>
      <c r="I74">
        <v>4035</v>
      </c>
      <c r="K74" t="s">
        <v>445</v>
      </c>
      <c r="L74" t="s">
        <v>525</v>
      </c>
      <c r="M74">
        <v>793939225</v>
      </c>
      <c r="N74">
        <v>37111758</v>
      </c>
      <c r="O74">
        <v>4035</v>
      </c>
    </row>
    <row r="75" spans="1:15" x14ac:dyDescent="0.25">
      <c r="A75" t="s">
        <v>434</v>
      </c>
      <c r="B75">
        <v>719306217</v>
      </c>
      <c r="C75">
        <v>23460234</v>
      </c>
      <c r="D75" t="s">
        <v>351</v>
      </c>
      <c r="E75" t="s">
        <v>353</v>
      </c>
      <c r="F75">
        <v>7000</v>
      </c>
      <c r="G75" t="s">
        <v>574</v>
      </c>
      <c r="H75" s="26">
        <v>46272</v>
      </c>
      <c r="I75">
        <v>2334</v>
      </c>
      <c r="K75" t="s">
        <v>445</v>
      </c>
      <c r="L75" t="s">
        <v>575</v>
      </c>
      <c r="M75">
        <v>719892679</v>
      </c>
      <c r="N75">
        <v>26408630</v>
      </c>
      <c r="O75">
        <v>2334</v>
      </c>
    </row>
    <row r="76" spans="1:15" x14ac:dyDescent="0.25">
      <c r="A76" t="s">
        <v>435</v>
      </c>
      <c r="B76">
        <v>722748615</v>
      </c>
      <c r="C76">
        <v>22151123</v>
      </c>
      <c r="D76" t="s">
        <v>351</v>
      </c>
      <c r="E76" t="s">
        <v>493</v>
      </c>
      <c r="F76">
        <v>14000</v>
      </c>
      <c r="G76" t="s">
        <v>354</v>
      </c>
      <c r="H76" t="s">
        <v>576</v>
      </c>
      <c r="I76">
        <v>6702</v>
      </c>
      <c r="K76" t="s">
        <v>445</v>
      </c>
      <c r="L76" t="s">
        <v>577</v>
      </c>
      <c r="M76">
        <v>799246301</v>
      </c>
      <c r="O76">
        <v>6702</v>
      </c>
    </row>
    <row r="77" spans="1:15" x14ac:dyDescent="0.25">
      <c r="A77" t="s">
        <v>436</v>
      </c>
      <c r="B77">
        <v>759205575</v>
      </c>
      <c r="C77">
        <v>26923738</v>
      </c>
      <c r="D77" t="s">
        <v>351</v>
      </c>
      <c r="E77" t="s">
        <v>353</v>
      </c>
      <c r="F77">
        <v>7000</v>
      </c>
      <c r="G77" t="s">
        <v>354</v>
      </c>
      <c r="H77" t="s">
        <v>546</v>
      </c>
      <c r="I77">
        <v>6668</v>
      </c>
      <c r="K77" t="s">
        <v>445</v>
      </c>
      <c r="L77" t="s">
        <v>578</v>
      </c>
      <c r="M77">
        <v>712460595</v>
      </c>
      <c r="N77">
        <v>28164017</v>
      </c>
      <c r="O77">
        <v>6668</v>
      </c>
    </row>
    <row r="78" spans="1:15" x14ac:dyDescent="0.25">
      <c r="A78" t="s">
        <v>437</v>
      </c>
      <c r="B78">
        <v>729948691</v>
      </c>
      <c r="C78">
        <v>36050644</v>
      </c>
      <c r="D78" t="s">
        <v>351</v>
      </c>
      <c r="E78" t="s">
        <v>353</v>
      </c>
      <c r="F78">
        <v>7000</v>
      </c>
      <c r="G78" t="s">
        <v>354</v>
      </c>
      <c r="H78" s="26">
        <v>46148</v>
      </c>
      <c r="I78">
        <v>6002</v>
      </c>
      <c r="K78" t="s">
        <v>445</v>
      </c>
      <c r="L78" t="s">
        <v>579</v>
      </c>
      <c r="M78">
        <v>798079512</v>
      </c>
      <c r="N78">
        <v>34086773</v>
      </c>
      <c r="O78">
        <v>6002</v>
      </c>
    </row>
    <row r="79" spans="1:15" x14ac:dyDescent="0.25">
      <c r="A79" t="s">
        <v>438</v>
      </c>
      <c r="B79">
        <v>791731867</v>
      </c>
      <c r="C79">
        <v>28144828</v>
      </c>
      <c r="D79" t="s">
        <v>351</v>
      </c>
      <c r="E79" t="s">
        <v>353</v>
      </c>
      <c r="F79">
        <v>7000</v>
      </c>
      <c r="G79" t="s">
        <v>354</v>
      </c>
      <c r="H79" s="26">
        <v>46180</v>
      </c>
      <c r="I79">
        <v>634</v>
      </c>
      <c r="K79" t="s">
        <v>445</v>
      </c>
      <c r="L79" t="s">
        <v>580</v>
      </c>
      <c r="M79">
        <v>723597016</v>
      </c>
      <c r="N79">
        <v>25633283</v>
      </c>
      <c r="O79">
        <v>634</v>
      </c>
    </row>
    <row r="80" spans="1:15" x14ac:dyDescent="0.25">
      <c r="A80" t="s">
        <v>439</v>
      </c>
      <c r="B80">
        <v>705108040</v>
      </c>
      <c r="C80">
        <v>31310078</v>
      </c>
      <c r="D80" t="s">
        <v>351</v>
      </c>
      <c r="E80" t="s">
        <v>353</v>
      </c>
      <c r="F80">
        <v>7000</v>
      </c>
      <c r="G80" t="s">
        <v>354</v>
      </c>
      <c r="H80" s="26">
        <v>46241</v>
      </c>
      <c r="I80">
        <v>1667</v>
      </c>
      <c r="K80" t="s">
        <v>445</v>
      </c>
      <c r="L80" t="s">
        <v>581</v>
      </c>
      <c r="M80">
        <v>110503853</v>
      </c>
      <c r="N80">
        <v>37591706</v>
      </c>
      <c r="O80">
        <v>1667</v>
      </c>
    </row>
    <row r="81" spans="1:15" x14ac:dyDescent="0.25">
      <c r="A81" t="s">
        <v>440</v>
      </c>
      <c r="B81">
        <v>727719755</v>
      </c>
      <c r="C81">
        <v>12477557</v>
      </c>
      <c r="D81" t="s">
        <v>351</v>
      </c>
      <c r="E81" t="s">
        <v>353</v>
      </c>
      <c r="F81">
        <v>7000</v>
      </c>
      <c r="G81" t="s">
        <v>354</v>
      </c>
      <c r="H81" t="s">
        <v>512</v>
      </c>
      <c r="I81">
        <v>5569</v>
      </c>
      <c r="K81" t="s">
        <v>445</v>
      </c>
      <c r="L81" t="s">
        <v>526</v>
      </c>
      <c r="M81">
        <v>708191044</v>
      </c>
      <c r="N81">
        <v>26155026</v>
      </c>
      <c r="O81">
        <v>5569</v>
      </c>
    </row>
    <row r="82" spans="1:15" x14ac:dyDescent="0.25">
      <c r="A82" t="s">
        <v>441</v>
      </c>
      <c r="B82">
        <v>742633092</v>
      </c>
      <c r="C82">
        <v>32774775</v>
      </c>
      <c r="D82" t="s">
        <v>351</v>
      </c>
      <c r="E82" t="s">
        <v>353</v>
      </c>
      <c r="F82">
        <v>7000</v>
      </c>
      <c r="G82" t="s">
        <v>354</v>
      </c>
      <c r="H82" s="26">
        <v>46241</v>
      </c>
      <c r="I82">
        <v>1667</v>
      </c>
      <c r="K82" t="s">
        <v>445</v>
      </c>
      <c r="L82" t="s">
        <v>582</v>
      </c>
      <c r="M82">
        <v>799178282</v>
      </c>
      <c r="N82">
        <v>24235634</v>
      </c>
      <c r="O82">
        <v>4335</v>
      </c>
    </row>
    <row r="83" spans="1:15" x14ac:dyDescent="0.25">
      <c r="A83" t="s">
        <v>442</v>
      </c>
      <c r="B83">
        <v>703403169</v>
      </c>
      <c r="C83">
        <v>21911844</v>
      </c>
      <c r="D83" t="s">
        <v>351</v>
      </c>
      <c r="E83" t="s">
        <v>353</v>
      </c>
      <c r="F83">
        <v>7000</v>
      </c>
      <c r="G83" t="s">
        <v>354</v>
      </c>
      <c r="H83" t="s">
        <v>583</v>
      </c>
      <c r="I83">
        <v>890</v>
      </c>
      <c r="K83" t="s">
        <v>445</v>
      </c>
      <c r="L83" t="s">
        <v>492</v>
      </c>
      <c r="M83">
        <v>721623715</v>
      </c>
      <c r="O83">
        <v>890</v>
      </c>
    </row>
    <row r="84" spans="1:15" x14ac:dyDescent="0.25">
      <c r="A84" t="s">
        <v>443</v>
      </c>
      <c r="B84">
        <v>711201101</v>
      </c>
      <c r="C84">
        <v>24443447</v>
      </c>
      <c r="D84" t="s">
        <v>351</v>
      </c>
      <c r="E84" t="s">
        <v>353</v>
      </c>
      <c r="F84">
        <v>7000</v>
      </c>
      <c r="G84" t="s">
        <v>486</v>
      </c>
      <c r="H84" t="s">
        <v>584</v>
      </c>
      <c r="I84">
        <v>6000</v>
      </c>
      <c r="K84" t="s">
        <v>445</v>
      </c>
      <c r="L84" t="s">
        <v>585</v>
      </c>
      <c r="M84">
        <v>721110430</v>
      </c>
      <c r="N84">
        <v>25460580</v>
      </c>
      <c r="O84">
        <v>6000</v>
      </c>
    </row>
    <row r="85" spans="1:15" x14ac:dyDescent="0.25">
      <c r="A85" t="s">
        <v>444</v>
      </c>
      <c r="B85">
        <v>725564232</v>
      </c>
      <c r="C85">
        <v>24125451</v>
      </c>
      <c r="D85" t="s">
        <v>351</v>
      </c>
      <c r="E85" t="s">
        <v>353</v>
      </c>
      <c r="F85">
        <v>7000</v>
      </c>
      <c r="G85" t="s">
        <v>354</v>
      </c>
      <c r="H85" t="s">
        <v>586</v>
      </c>
      <c r="I85">
        <v>3334</v>
      </c>
      <c r="K85" t="s">
        <v>445</v>
      </c>
      <c r="L85" t="s">
        <v>587</v>
      </c>
      <c r="M85">
        <v>726731131</v>
      </c>
      <c r="N85">
        <v>39087425</v>
      </c>
      <c r="O85">
        <v>3334</v>
      </c>
    </row>
    <row r="86" spans="1:15" x14ac:dyDescent="0.25">
      <c r="A86" t="s">
        <v>446</v>
      </c>
      <c r="B86">
        <v>725250520</v>
      </c>
      <c r="C86">
        <v>24309052</v>
      </c>
      <c r="D86" t="s">
        <v>351</v>
      </c>
      <c r="E86" t="s">
        <v>353</v>
      </c>
      <c r="F86">
        <v>7000</v>
      </c>
      <c r="G86" t="s">
        <v>354</v>
      </c>
      <c r="H86" t="s">
        <v>590</v>
      </c>
      <c r="I86">
        <v>5300</v>
      </c>
      <c r="K86" t="s">
        <v>483</v>
      </c>
      <c r="L86" t="s">
        <v>591</v>
      </c>
      <c r="M86">
        <v>727139074</v>
      </c>
      <c r="N86">
        <v>13099364</v>
      </c>
      <c r="O86">
        <v>5300</v>
      </c>
    </row>
    <row r="87" spans="1:15" x14ac:dyDescent="0.25">
      <c r="A87" s="20" t="s">
        <v>447</v>
      </c>
      <c r="B87" s="29">
        <v>758011823</v>
      </c>
      <c r="C87">
        <v>24346337</v>
      </c>
      <c r="D87" t="s">
        <v>351</v>
      </c>
      <c r="E87" t="s">
        <v>353</v>
      </c>
      <c r="F87">
        <v>8000</v>
      </c>
      <c r="G87" t="s">
        <v>354</v>
      </c>
      <c r="H87" t="s">
        <v>588</v>
      </c>
      <c r="I87">
        <v>3336</v>
      </c>
      <c r="K87" t="s">
        <v>483</v>
      </c>
      <c r="L87" t="s">
        <v>589</v>
      </c>
      <c r="M87">
        <v>702286580</v>
      </c>
      <c r="N87">
        <v>38905096</v>
      </c>
      <c r="O87">
        <v>3336</v>
      </c>
    </row>
    <row r="88" spans="1:15" x14ac:dyDescent="0.25">
      <c r="A88" t="s">
        <v>448</v>
      </c>
      <c r="B88">
        <v>795381249</v>
      </c>
      <c r="C88">
        <v>35988036</v>
      </c>
      <c r="D88" t="s">
        <v>351</v>
      </c>
      <c r="E88" t="s">
        <v>353</v>
      </c>
      <c r="F88">
        <v>10000</v>
      </c>
      <c r="G88" t="s">
        <v>354</v>
      </c>
      <c r="H88" t="s">
        <v>590</v>
      </c>
      <c r="I88">
        <v>6501</v>
      </c>
      <c r="K88" t="s">
        <v>483</v>
      </c>
      <c r="L88" t="s">
        <v>592</v>
      </c>
      <c r="M88">
        <v>727771197</v>
      </c>
      <c r="N88">
        <v>3217235</v>
      </c>
      <c r="O88">
        <v>6501</v>
      </c>
    </row>
    <row r="89" spans="1:15" x14ac:dyDescent="0.25">
      <c r="A89" t="s">
        <v>449</v>
      </c>
      <c r="B89">
        <v>701385607</v>
      </c>
      <c r="C89">
        <v>28747182</v>
      </c>
      <c r="D89" t="s">
        <v>351</v>
      </c>
      <c r="E89" t="s">
        <v>353</v>
      </c>
      <c r="F89">
        <v>7000</v>
      </c>
      <c r="G89" t="s">
        <v>354</v>
      </c>
      <c r="H89" t="s">
        <v>519</v>
      </c>
      <c r="I89">
        <v>3102</v>
      </c>
      <c r="K89" t="s">
        <v>483</v>
      </c>
      <c r="L89" t="s">
        <v>593</v>
      </c>
      <c r="M89">
        <v>119716066</v>
      </c>
      <c r="N89">
        <v>26246339</v>
      </c>
      <c r="O89">
        <v>3102</v>
      </c>
    </row>
    <row r="90" spans="1:15" x14ac:dyDescent="0.25">
      <c r="A90" t="s">
        <v>450</v>
      </c>
      <c r="B90">
        <v>710601342</v>
      </c>
      <c r="C90">
        <v>10134255</v>
      </c>
      <c r="D90" t="s">
        <v>351</v>
      </c>
      <c r="E90" t="s">
        <v>353</v>
      </c>
      <c r="F90">
        <v>7000</v>
      </c>
      <c r="G90" t="s">
        <v>354</v>
      </c>
      <c r="H90" t="s">
        <v>594</v>
      </c>
      <c r="I90">
        <v>1038</v>
      </c>
      <c r="K90" t="s">
        <v>483</v>
      </c>
      <c r="L90" t="s">
        <v>595</v>
      </c>
      <c r="M90">
        <v>742540645</v>
      </c>
      <c r="N90">
        <v>36206720</v>
      </c>
      <c r="O90">
        <v>1038</v>
      </c>
    </row>
    <row r="91" spans="1:15" x14ac:dyDescent="0.25">
      <c r="A91" t="s">
        <v>451</v>
      </c>
      <c r="B91">
        <v>724303162</v>
      </c>
      <c r="C91">
        <v>35955151</v>
      </c>
      <c r="D91" t="s">
        <v>351</v>
      </c>
      <c r="E91" t="s">
        <v>353</v>
      </c>
      <c r="F91">
        <v>7000</v>
      </c>
      <c r="G91" t="s">
        <v>354</v>
      </c>
      <c r="H91" t="s">
        <v>539</v>
      </c>
      <c r="I91">
        <v>6635</v>
      </c>
      <c r="K91" t="s">
        <v>483</v>
      </c>
      <c r="L91" t="s">
        <v>596</v>
      </c>
      <c r="M91">
        <v>757560574</v>
      </c>
      <c r="N91">
        <v>30883618</v>
      </c>
      <c r="O91">
        <v>6635</v>
      </c>
    </row>
    <row r="92" spans="1:15" x14ac:dyDescent="0.25">
      <c r="A92" t="s">
        <v>452</v>
      </c>
      <c r="B92">
        <v>790544260</v>
      </c>
      <c r="C92">
        <v>34963158</v>
      </c>
      <c r="D92" t="s">
        <v>351</v>
      </c>
      <c r="E92" t="s">
        <v>353</v>
      </c>
      <c r="F92">
        <v>7000</v>
      </c>
      <c r="G92" t="s">
        <v>354</v>
      </c>
      <c r="H92" s="26">
        <v>46240</v>
      </c>
      <c r="I92">
        <v>837</v>
      </c>
      <c r="K92" t="s">
        <v>483</v>
      </c>
      <c r="L92" t="s">
        <v>597</v>
      </c>
      <c r="M92">
        <v>727590270</v>
      </c>
      <c r="N92">
        <v>23054945</v>
      </c>
      <c r="O92">
        <v>837</v>
      </c>
    </row>
    <row r="93" spans="1:15" x14ac:dyDescent="0.25">
      <c r="A93" t="s">
        <v>453</v>
      </c>
      <c r="B93">
        <v>718984236</v>
      </c>
      <c r="C93">
        <v>14688448</v>
      </c>
      <c r="D93" t="s">
        <v>598</v>
      </c>
      <c r="E93" t="s">
        <v>353</v>
      </c>
      <c r="F93">
        <v>7000</v>
      </c>
      <c r="G93" t="s">
        <v>354</v>
      </c>
      <c r="H93" t="s">
        <v>556</v>
      </c>
      <c r="I93">
        <v>5868</v>
      </c>
      <c r="K93" t="s">
        <v>483</v>
      </c>
      <c r="L93" t="s">
        <v>599</v>
      </c>
      <c r="M93">
        <v>727937506</v>
      </c>
      <c r="N93">
        <v>6829696</v>
      </c>
      <c r="O93">
        <v>5868</v>
      </c>
    </row>
    <row r="94" spans="1:15" x14ac:dyDescent="0.25">
      <c r="A94" t="s">
        <v>454</v>
      </c>
      <c r="B94">
        <v>725865057</v>
      </c>
      <c r="C94">
        <v>26013642</v>
      </c>
      <c r="D94" t="s">
        <v>351</v>
      </c>
      <c r="E94" t="s">
        <v>353</v>
      </c>
      <c r="F94">
        <v>7000</v>
      </c>
      <c r="G94" t="s">
        <v>354</v>
      </c>
      <c r="H94" t="s">
        <v>562</v>
      </c>
      <c r="I94">
        <v>4335</v>
      </c>
      <c r="K94" t="s">
        <v>483</v>
      </c>
      <c r="L94" t="s">
        <v>600</v>
      </c>
      <c r="M94">
        <v>716139321</v>
      </c>
      <c r="N94">
        <v>23123401</v>
      </c>
      <c r="O94">
        <v>4335</v>
      </c>
    </row>
    <row r="95" spans="1:15" x14ac:dyDescent="0.25">
      <c r="A95" t="s">
        <v>455</v>
      </c>
      <c r="B95">
        <v>703187739</v>
      </c>
      <c r="C95">
        <v>35190935</v>
      </c>
      <c r="D95" t="s">
        <v>351</v>
      </c>
      <c r="E95" t="s">
        <v>353</v>
      </c>
      <c r="F95">
        <v>7000</v>
      </c>
      <c r="G95" t="s">
        <v>354</v>
      </c>
      <c r="H95" t="s">
        <v>601</v>
      </c>
      <c r="I95">
        <v>5868</v>
      </c>
      <c r="K95" t="s">
        <v>483</v>
      </c>
      <c r="L95" t="s">
        <v>602</v>
      </c>
      <c r="M95">
        <v>711865603</v>
      </c>
      <c r="N95">
        <v>35109246</v>
      </c>
      <c r="O95">
        <v>5868</v>
      </c>
    </row>
    <row r="96" spans="1:15" x14ac:dyDescent="0.25">
      <c r="A96" t="s">
        <v>456</v>
      </c>
      <c r="B96">
        <v>705161515</v>
      </c>
      <c r="C96">
        <v>1408287</v>
      </c>
      <c r="D96" t="s">
        <v>351</v>
      </c>
      <c r="E96" t="s">
        <v>353</v>
      </c>
      <c r="F96">
        <v>7000</v>
      </c>
      <c r="G96" t="s">
        <v>354</v>
      </c>
      <c r="H96" t="s">
        <v>603</v>
      </c>
      <c r="I96">
        <v>5002</v>
      </c>
      <c r="K96" t="s">
        <v>483</v>
      </c>
      <c r="L96" t="s">
        <v>604</v>
      </c>
      <c r="M96">
        <v>725491517</v>
      </c>
      <c r="N96">
        <v>13101148</v>
      </c>
      <c r="O96">
        <v>5002</v>
      </c>
    </row>
    <row r="97" spans="1:15" x14ac:dyDescent="0.25">
      <c r="A97" t="s">
        <v>457</v>
      </c>
      <c r="B97">
        <v>720220792</v>
      </c>
      <c r="C97">
        <v>5794871</v>
      </c>
      <c r="D97" t="s">
        <v>351</v>
      </c>
      <c r="E97" t="s">
        <v>353</v>
      </c>
      <c r="F97">
        <v>7000</v>
      </c>
      <c r="G97" t="s">
        <v>354</v>
      </c>
      <c r="H97" s="26">
        <v>46089</v>
      </c>
      <c r="I97">
        <v>5002</v>
      </c>
      <c r="K97" t="s">
        <v>483</v>
      </c>
      <c r="L97" t="s">
        <v>605</v>
      </c>
      <c r="M97">
        <v>726710813</v>
      </c>
      <c r="N97">
        <v>12779019</v>
      </c>
      <c r="O97">
        <v>5002</v>
      </c>
    </row>
    <row r="98" spans="1:15" x14ac:dyDescent="0.25">
      <c r="A98" t="s">
        <v>458</v>
      </c>
      <c r="B98">
        <v>703637040</v>
      </c>
      <c r="C98">
        <v>34744183</v>
      </c>
      <c r="D98" t="s">
        <v>351</v>
      </c>
      <c r="E98" t="s">
        <v>353</v>
      </c>
      <c r="F98">
        <v>7000</v>
      </c>
      <c r="G98" t="s">
        <v>354</v>
      </c>
      <c r="H98" t="s">
        <v>583</v>
      </c>
      <c r="I98">
        <v>4015</v>
      </c>
      <c r="K98" t="s">
        <v>483</v>
      </c>
      <c r="L98" t="s">
        <v>607</v>
      </c>
      <c r="M98">
        <v>712115275</v>
      </c>
      <c r="N98">
        <v>28284852</v>
      </c>
      <c r="O98">
        <v>4015</v>
      </c>
    </row>
    <row r="99" spans="1:15" x14ac:dyDescent="0.25">
      <c r="A99" t="s">
        <v>459</v>
      </c>
      <c r="B99">
        <v>712978176</v>
      </c>
      <c r="C99">
        <v>24764098</v>
      </c>
      <c r="D99" t="s">
        <v>351</v>
      </c>
      <c r="E99" t="s">
        <v>353</v>
      </c>
      <c r="F99">
        <v>7000</v>
      </c>
      <c r="G99" t="s">
        <v>354</v>
      </c>
      <c r="H99" t="s">
        <v>610</v>
      </c>
      <c r="I99">
        <v>5001</v>
      </c>
      <c r="K99" t="s">
        <v>483</v>
      </c>
      <c r="L99" t="s">
        <v>611</v>
      </c>
      <c r="M99">
        <v>142705397</v>
      </c>
      <c r="N99">
        <v>25889088</v>
      </c>
      <c r="O99">
        <v>5001</v>
      </c>
    </row>
    <row r="100" spans="1:15" x14ac:dyDescent="0.25">
      <c r="A100" t="s">
        <v>460</v>
      </c>
      <c r="B100">
        <v>716324250</v>
      </c>
      <c r="C100">
        <v>219831722</v>
      </c>
      <c r="D100" t="s">
        <v>351</v>
      </c>
      <c r="E100" t="s">
        <v>353</v>
      </c>
      <c r="F100">
        <v>7000</v>
      </c>
      <c r="G100" t="s">
        <v>354</v>
      </c>
      <c r="H100" s="26">
        <v>46150</v>
      </c>
      <c r="I100">
        <v>5302</v>
      </c>
      <c r="K100" t="s">
        <v>483</v>
      </c>
      <c r="L100" t="s">
        <v>522</v>
      </c>
      <c r="M100">
        <v>705002647</v>
      </c>
      <c r="N100">
        <v>28756506</v>
      </c>
      <c r="O100">
        <v>5302</v>
      </c>
    </row>
    <row r="101" spans="1:15" x14ac:dyDescent="0.25">
      <c r="A101" t="s">
        <v>461</v>
      </c>
      <c r="B101">
        <v>790879139</v>
      </c>
      <c r="C101">
        <v>37643373</v>
      </c>
      <c r="D101" t="s">
        <v>351</v>
      </c>
      <c r="E101" t="s">
        <v>353</v>
      </c>
      <c r="F101">
        <v>7000</v>
      </c>
      <c r="G101" t="s">
        <v>354</v>
      </c>
      <c r="H101" s="26">
        <v>46089</v>
      </c>
      <c r="I101" s="28">
        <v>4835</v>
      </c>
      <c r="K101" t="s">
        <v>483</v>
      </c>
      <c r="L101" t="s">
        <v>609</v>
      </c>
      <c r="M101">
        <v>706121209</v>
      </c>
      <c r="N101">
        <v>24351010</v>
      </c>
      <c r="O101" s="28">
        <v>4835</v>
      </c>
    </row>
    <row r="102" spans="1:15" x14ac:dyDescent="0.25">
      <c r="A102" t="s">
        <v>462</v>
      </c>
      <c r="B102">
        <v>729166674</v>
      </c>
      <c r="C102">
        <v>31282625</v>
      </c>
      <c r="D102" t="s">
        <v>351</v>
      </c>
      <c r="E102" t="s">
        <v>353</v>
      </c>
      <c r="F102">
        <v>7000</v>
      </c>
      <c r="G102" t="s">
        <v>354</v>
      </c>
      <c r="H102" t="s">
        <v>603</v>
      </c>
      <c r="I102">
        <v>4667</v>
      </c>
      <c r="K102" t="s">
        <v>483</v>
      </c>
      <c r="L102" t="s">
        <v>515</v>
      </c>
      <c r="M102">
        <v>729050969</v>
      </c>
      <c r="N102">
        <v>5510557</v>
      </c>
      <c r="O102">
        <v>4667</v>
      </c>
    </row>
    <row r="103" spans="1:15" x14ac:dyDescent="0.25">
      <c r="A103" t="s">
        <v>463</v>
      </c>
      <c r="B103">
        <v>727377119</v>
      </c>
      <c r="C103">
        <v>27213700</v>
      </c>
      <c r="D103" t="s">
        <v>351</v>
      </c>
      <c r="E103" t="s">
        <v>353</v>
      </c>
      <c r="F103">
        <v>9000</v>
      </c>
      <c r="G103" t="s">
        <v>354</v>
      </c>
      <c r="H103" t="s">
        <v>612</v>
      </c>
      <c r="I103">
        <v>3500</v>
      </c>
      <c r="K103" t="s">
        <v>483</v>
      </c>
      <c r="L103" t="s">
        <v>613</v>
      </c>
      <c r="M103">
        <v>718116714</v>
      </c>
      <c r="N103">
        <v>9552792</v>
      </c>
      <c r="O103">
        <v>3500</v>
      </c>
    </row>
    <row r="104" spans="1:15" x14ac:dyDescent="0.25">
      <c r="A104" t="s">
        <v>464</v>
      </c>
      <c r="B104">
        <v>719628630</v>
      </c>
      <c r="C104">
        <v>9552402</v>
      </c>
      <c r="D104" t="s">
        <v>351</v>
      </c>
      <c r="E104" t="s">
        <v>493</v>
      </c>
      <c r="F104">
        <v>11000</v>
      </c>
      <c r="G104" t="s">
        <v>354</v>
      </c>
      <c r="H104" t="s">
        <v>614</v>
      </c>
      <c r="I104">
        <v>7540</v>
      </c>
      <c r="K104" t="s">
        <v>483</v>
      </c>
      <c r="L104" t="s">
        <v>615</v>
      </c>
      <c r="M104">
        <v>798640941</v>
      </c>
      <c r="N104">
        <v>29231260</v>
      </c>
      <c r="O104">
        <v>7540</v>
      </c>
    </row>
    <row r="105" spans="1:15" x14ac:dyDescent="0.25">
      <c r="A105" t="s">
        <v>465</v>
      </c>
      <c r="B105">
        <v>797435912</v>
      </c>
      <c r="C105">
        <v>32003644</v>
      </c>
      <c r="D105" t="s">
        <v>351</v>
      </c>
      <c r="E105" t="s">
        <v>493</v>
      </c>
      <c r="F105">
        <v>12000</v>
      </c>
      <c r="G105" t="s">
        <v>354</v>
      </c>
      <c r="H105" t="s">
        <v>617</v>
      </c>
      <c r="I105">
        <v>4800</v>
      </c>
      <c r="K105" t="s">
        <v>483</v>
      </c>
      <c r="L105" t="s">
        <v>616</v>
      </c>
      <c r="M105">
        <v>11713754</v>
      </c>
      <c r="N105">
        <v>42270929</v>
      </c>
      <c r="O105">
        <v>4800</v>
      </c>
    </row>
    <row r="106" spans="1:15" x14ac:dyDescent="0.25">
      <c r="A106" t="s">
        <v>466</v>
      </c>
      <c r="B106">
        <v>728585471</v>
      </c>
      <c r="C106">
        <v>13537821</v>
      </c>
      <c r="D106" t="s">
        <v>351</v>
      </c>
      <c r="E106" t="s">
        <v>353</v>
      </c>
      <c r="F106">
        <v>7000</v>
      </c>
      <c r="G106" t="s">
        <v>354</v>
      </c>
      <c r="H106" s="26">
        <v>46303</v>
      </c>
      <c r="I106">
        <v>4802</v>
      </c>
      <c r="K106" t="s">
        <v>483</v>
      </c>
      <c r="L106" t="s">
        <v>618</v>
      </c>
      <c r="M106">
        <v>706873312</v>
      </c>
      <c r="N106">
        <v>35083262</v>
      </c>
      <c r="O106">
        <v>4802</v>
      </c>
    </row>
    <row r="107" spans="1:15" x14ac:dyDescent="0.25">
      <c r="A107" t="s">
        <v>467</v>
      </c>
      <c r="B107">
        <v>727425049</v>
      </c>
      <c r="C107">
        <v>32526232</v>
      </c>
      <c r="D107" t="s">
        <v>351</v>
      </c>
      <c r="E107" t="s">
        <v>353</v>
      </c>
      <c r="F107">
        <v>7000</v>
      </c>
      <c r="G107" t="s">
        <v>354</v>
      </c>
      <c r="H107" t="s">
        <v>620</v>
      </c>
      <c r="I107">
        <v>6668</v>
      </c>
      <c r="K107" t="s">
        <v>483</v>
      </c>
      <c r="L107" t="s">
        <v>619</v>
      </c>
      <c r="M107">
        <v>113380655</v>
      </c>
      <c r="N107">
        <v>25680195</v>
      </c>
      <c r="O107">
        <v>6668</v>
      </c>
    </row>
    <row r="108" spans="1:15" x14ac:dyDescent="0.25">
      <c r="A108" t="s">
        <v>468</v>
      </c>
      <c r="B108">
        <v>723704356</v>
      </c>
      <c r="C108">
        <v>14519310</v>
      </c>
      <c r="D108" t="s">
        <v>351</v>
      </c>
      <c r="E108" t="s">
        <v>353</v>
      </c>
      <c r="F108">
        <v>7000</v>
      </c>
      <c r="G108" t="s">
        <v>354</v>
      </c>
      <c r="H108" t="s">
        <v>621</v>
      </c>
      <c r="I108">
        <v>3568</v>
      </c>
      <c r="K108" t="s">
        <v>483</v>
      </c>
      <c r="L108" t="s">
        <v>622</v>
      </c>
      <c r="M108">
        <v>724549891</v>
      </c>
      <c r="N108">
        <v>10134229</v>
      </c>
      <c r="O108">
        <v>3568</v>
      </c>
    </row>
    <row r="109" spans="1:15" x14ac:dyDescent="0.25">
      <c r="A109" t="s">
        <v>469</v>
      </c>
      <c r="B109">
        <v>724987809</v>
      </c>
      <c r="C109">
        <v>23021838</v>
      </c>
      <c r="D109" t="s">
        <v>351</v>
      </c>
      <c r="E109" t="s">
        <v>493</v>
      </c>
      <c r="F109">
        <v>12000</v>
      </c>
      <c r="G109" t="s">
        <v>354</v>
      </c>
      <c r="H109" t="s">
        <v>588</v>
      </c>
      <c r="I109">
        <v>4352</v>
      </c>
      <c r="K109" t="s">
        <v>483</v>
      </c>
      <c r="L109" t="s">
        <v>623</v>
      </c>
      <c r="M109">
        <v>727394271</v>
      </c>
      <c r="N109">
        <v>13537211</v>
      </c>
      <c r="O109">
        <v>4352</v>
      </c>
    </row>
    <row r="110" spans="1:15" x14ac:dyDescent="0.25">
      <c r="A110" t="s">
        <v>470</v>
      </c>
      <c r="B110">
        <v>741955618</v>
      </c>
      <c r="C110">
        <v>38236905</v>
      </c>
      <c r="D110" t="s">
        <v>351</v>
      </c>
      <c r="E110" t="s">
        <v>493</v>
      </c>
      <c r="F110">
        <v>12000</v>
      </c>
      <c r="G110" t="s">
        <v>354</v>
      </c>
      <c r="H110" t="s">
        <v>603</v>
      </c>
      <c r="I110">
        <v>1500</v>
      </c>
      <c r="K110" t="s">
        <v>483</v>
      </c>
      <c r="L110" t="s">
        <v>624</v>
      </c>
      <c r="M110">
        <v>756887871</v>
      </c>
      <c r="N110">
        <v>3379429</v>
      </c>
      <c r="O110">
        <v>1500</v>
      </c>
    </row>
    <row r="111" spans="1:15" x14ac:dyDescent="0.25">
      <c r="A111" t="s">
        <v>471</v>
      </c>
      <c r="B111">
        <v>713415726</v>
      </c>
      <c r="C111">
        <v>23258715</v>
      </c>
      <c r="D111" t="s">
        <v>351</v>
      </c>
      <c r="E111" t="s">
        <v>353</v>
      </c>
      <c r="F111">
        <v>9000</v>
      </c>
      <c r="G111" t="s">
        <v>354</v>
      </c>
      <c r="H111" t="s">
        <v>625</v>
      </c>
      <c r="I111">
        <v>5000</v>
      </c>
      <c r="K111" t="s">
        <v>483</v>
      </c>
      <c r="L111" t="s">
        <v>626</v>
      </c>
      <c r="M111">
        <v>712557107</v>
      </c>
      <c r="N111">
        <v>3713969</v>
      </c>
      <c r="O111">
        <v>5000</v>
      </c>
    </row>
    <row r="112" spans="1:15" x14ac:dyDescent="0.25">
      <c r="A112" t="s">
        <v>472</v>
      </c>
      <c r="B112">
        <v>141317495</v>
      </c>
      <c r="C112">
        <v>26859177</v>
      </c>
      <c r="D112" t="s">
        <v>351</v>
      </c>
      <c r="E112" t="s">
        <v>353</v>
      </c>
      <c r="F112">
        <v>7000</v>
      </c>
      <c r="G112" t="s">
        <v>354</v>
      </c>
      <c r="H112" t="s">
        <v>603</v>
      </c>
      <c r="I112">
        <v>5685</v>
      </c>
      <c r="K112" t="s">
        <v>483</v>
      </c>
      <c r="L112" t="s">
        <v>627</v>
      </c>
      <c r="M112">
        <v>715233512</v>
      </c>
      <c r="N112">
        <v>31025974</v>
      </c>
      <c r="O112">
        <v>5685</v>
      </c>
    </row>
    <row r="113" spans="1:15" x14ac:dyDescent="0.25">
      <c r="A113" t="s">
        <v>473</v>
      </c>
      <c r="B113">
        <v>702512871</v>
      </c>
      <c r="C113">
        <v>13531432</v>
      </c>
      <c r="D113" t="s">
        <v>351</v>
      </c>
      <c r="E113" t="s">
        <v>353</v>
      </c>
      <c r="F113">
        <v>8000</v>
      </c>
      <c r="G113" t="s">
        <v>354</v>
      </c>
      <c r="H113" t="s">
        <v>583</v>
      </c>
      <c r="I113">
        <v>2268</v>
      </c>
      <c r="K113" t="s">
        <v>483</v>
      </c>
      <c r="L113" t="s">
        <v>608</v>
      </c>
      <c r="M113">
        <v>717777830</v>
      </c>
      <c r="N113">
        <v>27317826</v>
      </c>
      <c r="O113">
        <v>2268</v>
      </c>
    </row>
    <row r="114" spans="1:15" x14ac:dyDescent="0.25">
      <c r="A114" t="s">
        <v>474</v>
      </c>
      <c r="B114">
        <v>746305393</v>
      </c>
      <c r="C114">
        <v>23663959</v>
      </c>
      <c r="D114" t="s">
        <v>351</v>
      </c>
      <c r="E114" t="s">
        <v>353</v>
      </c>
      <c r="F114">
        <v>7000</v>
      </c>
      <c r="G114" t="s">
        <v>354</v>
      </c>
      <c r="H114" s="26">
        <v>46334</v>
      </c>
      <c r="I114">
        <v>3668</v>
      </c>
      <c r="K114" t="s">
        <v>483</v>
      </c>
      <c r="L114" t="s">
        <v>628</v>
      </c>
      <c r="M114">
        <v>724675059</v>
      </c>
      <c r="N114">
        <v>30146789</v>
      </c>
      <c r="O114">
        <v>3668</v>
      </c>
    </row>
    <row r="115" spans="1:15" x14ac:dyDescent="0.25">
      <c r="A115" t="s">
        <v>475</v>
      </c>
      <c r="B115">
        <v>719539477</v>
      </c>
      <c r="C115">
        <v>21395966</v>
      </c>
      <c r="D115" t="s">
        <v>351</v>
      </c>
      <c r="E115" t="s">
        <v>353</v>
      </c>
      <c r="F115">
        <v>7000</v>
      </c>
      <c r="G115" t="s">
        <v>354</v>
      </c>
      <c r="H115" t="s">
        <v>629</v>
      </c>
      <c r="I115">
        <v>900</v>
      </c>
      <c r="K115" t="s">
        <v>483</v>
      </c>
      <c r="L115" t="s">
        <v>630</v>
      </c>
      <c r="M115">
        <v>725934573</v>
      </c>
      <c r="N115">
        <v>23182275</v>
      </c>
      <c r="O115">
        <v>900</v>
      </c>
    </row>
    <row r="116" spans="1:15" x14ac:dyDescent="0.25">
      <c r="A116" t="s">
        <v>476</v>
      </c>
      <c r="B116">
        <v>723434185</v>
      </c>
      <c r="C116">
        <v>9117881</v>
      </c>
      <c r="D116" t="s">
        <v>351</v>
      </c>
      <c r="E116" t="s">
        <v>353</v>
      </c>
      <c r="F116">
        <v>7000</v>
      </c>
      <c r="G116" t="s">
        <v>354</v>
      </c>
      <c r="H116" t="s">
        <v>519</v>
      </c>
      <c r="I116">
        <v>4000</v>
      </c>
      <c r="K116" t="s">
        <v>483</v>
      </c>
      <c r="L116" t="s">
        <v>533</v>
      </c>
      <c r="M116">
        <v>728127047</v>
      </c>
      <c r="N116">
        <v>20057525</v>
      </c>
      <c r="O116">
        <v>4000</v>
      </c>
    </row>
    <row r="117" spans="1:15" x14ac:dyDescent="0.25">
      <c r="A117" t="s">
        <v>477</v>
      </c>
      <c r="B117">
        <v>705907139</v>
      </c>
      <c r="C117">
        <v>24267777</v>
      </c>
      <c r="D117" t="s">
        <v>351</v>
      </c>
      <c r="E117" t="s">
        <v>353</v>
      </c>
      <c r="F117">
        <v>7000</v>
      </c>
      <c r="G117" t="s">
        <v>354</v>
      </c>
      <c r="H117" t="s">
        <v>606</v>
      </c>
      <c r="I117">
        <v>6668</v>
      </c>
      <c r="K117" t="s">
        <v>483</v>
      </c>
      <c r="L117" t="s">
        <v>631</v>
      </c>
      <c r="M117">
        <v>702492207</v>
      </c>
      <c r="N117">
        <v>867821457</v>
      </c>
      <c r="O117">
        <v>6668</v>
      </c>
    </row>
    <row r="118" spans="1:15" x14ac:dyDescent="0.25">
      <c r="A118" t="s">
        <v>478</v>
      </c>
      <c r="B118">
        <v>729823915</v>
      </c>
      <c r="C118">
        <v>25137804</v>
      </c>
      <c r="D118" t="s">
        <v>351</v>
      </c>
      <c r="E118" t="s">
        <v>353</v>
      </c>
      <c r="F118">
        <v>7000</v>
      </c>
      <c r="G118" t="s">
        <v>354</v>
      </c>
      <c r="H118" t="s">
        <v>532</v>
      </c>
      <c r="I118">
        <v>6668</v>
      </c>
      <c r="K118" t="s">
        <v>483</v>
      </c>
      <c r="L118" t="s">
        <v>632</v>
      </c>
      <c r="M118">
        <v>700640334</v>
      </c>
      <c r="N118">
        <v>37772125</v>
      </c>
      <c r="O118">
        <v>6668</v>
      </c>
    </row>
    <row r="119" spans="1:15" x14ac:dyDescent="0.25">
      <c r="A119" t="s">
        <v>479</v>
      </c>
      <c r="B119">
        <v>726871366</v>
      </c>
      <c r="C119">
        <v>13397727</v>
      </c>
      <c r="D119" t="s">
        <v>351</v>
      </c>
      <c r="E119" t="s">
        <v>353</v>
      </c>
      <c r="F119">
        <v>7000</v>
      </c>
      <c r="G119" t="s">
        <v>354</v>
      </c>
      <c r="H119" s="26">
        <v>46211</v>
      </c>
      <c r="I119">
        <v>3401</v>
      </c>
      <c r="K119" t="s">
        <v>483</v>
      </c>
      <c r="L119" t="s">
        <v>633</v>
      </c>
      <c r="M119">
        <v>728214878</v>
      </c>
      <c r="N119">
        <v>21898860</v>
      </c>
      <c r="O119">
        <v>3401</v>
      </c>
    </row>
    <row r="120" spans="1:15" x14ac:dyDescent="0.25">
      <c r="A120" t="s">
        <v>480</v>
      </c>
      <c r="B120">
        <v>745470083</v>
      </c>
      <c r="C120">
        <v>32992532</v>
      </c>
      <c r="D120" t="s">
        <v>351</v>
      </c>
      <c r="E120" t="s">
        <v>353</v>
      </c>
      <c r="F120">
        <v>7000</v>
      </c>
      <c r="G120" t="s">
        <v>354</v>
      </c>
      <c r="H120" s="26">
        <v>46211</v>
      </c>
      <c r="I120">
        <v>3251</v>
      </c>
      <c r="K120" t="s">
        <v>483</v>
      </c>
      <c r="L120" t="s">
        <v>634</v>
      </c>
      <c r="M120">
        <v>723704356</v>
      </c>
      <c r="N120">
        <v>14519310</v>
      </c>
      <c r="O120">
        <v>3251</v>
      </c>
    </row>
    <row r="121" spans="1:15" x14ac:dyDescent="0.25">
      <c r="A121" t="s">
        <v>481</v>
      </c>
      <c r="B121">
        <v>790324514</v>
      </c>
      <c r="C121">
        <v>39869148</v>
      </c>
      <c r="D121" t="s">
        <v>351</v>
      </c>
      <c r="E121" t="s">
        <v>353</v>
      </c>
      <c r="F121">
        <v>7000</v>
      </c>
      <c r="G121" t="s">
        <v>354</v>
      </c>
      <c r="H121" t="s">
        <v>635</v>
      </c>
      <c r="I121">
        <v>5001</v>
      </c>
      <c r="K121" t="s">
        <v>483</v>
      </c>
      <c r="L121" t="s">
        <v>636</v>
      </c>
      <c r="M121">
        <v>792023975</v>
      </c>
      <c r="N121">
        <v>558782821</v>
      </c>
      <c r="O121">
        <v>5001</v>
      </c>
    </row>
    <row r="122" spans="1:15" x14ac:dyDescent="0.25">
      <c r="A122" t="s">
        <v>640</v>
      </c>
      <c r="B122">
        <v>713789992</v>
      </c>
      <c r="C122">
        <v>26449623</v>
      </c>
      <c r="D122" t="s">
        <v>351</v>
      </c>
      <c r="E122" t="s">
        <v>353</v>
      </c>
      <c r="F122">
        <v>7000</v>
      </c>
      <c r="G122" t="s">
        <v>354</v>
      </c>
      <c r="H122" t="s">
        <v>625</v>
      </c>
      <c r="I122">
        <v>3668</v>
      </c>
      <c r="K122" t="s">
        <v>483</v>
      </c>
      <c r="L122" t="s">
        <v>637</v>
      </c>
      <c r="M122">
        <v>710659042</v>
      </c>
      <c r="N122">
        <v>32488944</v>
      </c>
      <c r="O122">
        <v>3668</v>
      </c>
    </row>
    <row r="123" spans="1:15" x14ac:dyDescent="0.25">
      <c r="A123" t="s">
        <v>482</v>
      </c>
      <c r="B123">
        <v>715557139</v>
      </c>
      <c r="C123">
        <v>34581019</v>
      </c>
      <c r="D123" t="s">
        <v>351</v>
      </c>
      <c r="E123" t="s">
        <v>353</v>
      </c>
      <c r="F123">
        <v>10000</v>
      </c>
      <c r="G123" t="s">
        <v>354</v>
      </c>
      <c r="H123" t="s">
        <v>638</v>
      </c>
      <c r="I123">
        <v>10835</v>
      </c>
      <c r="K123" t="s">
        <v>483</v>
      </c>
      <c r="L123" t="s">
        <v>639</v>
      </c>
      <c r="M123">
        <v>702411955</v>
      </c>
      <c r="N123">
        <v>660271222</v>
      </c>
      <c r="O123">
        <v>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2026-10-01T05:32:34Z</dcterms:created>
  <dcterms:modified xsi:type="dcterms:W3CDTF">2026-10-06T12:25:56Z</dcterms:modified>
  <cp:category/>
  <cp:contentStatus/>
</cp:coreProperties>
</file>