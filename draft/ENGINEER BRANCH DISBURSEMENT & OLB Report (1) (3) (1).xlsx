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DE2EF1D-14A7-44DE-B78E-9E7A8D0B81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0" i="1" l="1"/>
  <c r="K55" i="1"/>
  <c r="L55" i="1" s="1"/>
  <c r="K54" i="1"/>
  <c r="L54" i="1" s="1"/>
  <c r="K53" i="1"/>
  <c r="L53" i="1" s="1"/>
  <c r="K52" i="1"/>
  <c r="L52" i="1" s="1"/>
  <c r="K51" i="1"/>
  <c r="L51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</calcChain>
</file>

<file path=xl/sharedStrings.xml><?xml version="1.0" encoding="utf-8"?>
<sst xmlns="http://schemas.openxmlformats.org/spreadsheetml/2006/main" count="479" uniqueCount="332">
  <si>
    <t>NO.</t>
  </si>
  <si>
    <t>DATE</t>
  </si>
  <si>
    <t>CLIENT'S NAME</t>
  </si>
  <si>
    <t>CLIENT'S NUMBER</t>
  </si>
  <si>
    <t>CLIENTS ID.NO</t>
  </si>
  <si>
    <t>GUARANTOR'S NAME</t>
  </si>
  <si>
    <t>GUARANTOR'S NO.</t>
  </si>
  <si>
    <t>GUARANTORS ID</t>
  </si>
  <si>
    <t>LOAN PERIOD</t>
  </si>
  <si>
    <t>PRINCIPAL AMOUNT</t>
  </si>
  <si>
    <t>INTEREST</t>
  </si>
  <si>
    <t>INSTALLMENTS</t>
  </si>
  <si>
    <t>L.O.B</t>
  </si>
  <si>
    <t>Priscillah Nyambura Mutonya</t>
  </si>
  <si>
    <t>0715885492</t>
  </si>
  <si>
    <t>25467679</t>
  </si>
  <si>
    <t>Hannah Wairimu Githinji</t>
  </si>
  <si>
    <t>0707572433</t>
  </si>
  <si>
    <t>27189157</t>
  </si>
  <si>
    <t>6 Weeks</t>
  </si>
  <si>
    <t>CLEARED</t>
  </si>
  <si>
    <t>Ann</t>
  </si>
  <si>
    <t>Teresa Wanjiku Nyaguthii</t>
  </si>
  <si>
    <t>0716872853</t>
  </si>
  <si>
    <t>21791345</t>
  </si>
  <si>
    <t>Jane Njeri Wanjiku</t>
  </si>
  <si>
    <t>0727142888</t>
  </si>
  <si>
    <t>42233463</t>
  </si>
  <si>
    <t>4 Weeks</t>
  </si>
  <si>
    <t>Martha Wambui Mwangi</t>
  </si>
  <si>
    <t>0713404733</t>
  </si>
  <si>
    <t>21496227</t>
  </si>
  <si>
    <t>Victor Kuria Mwangi</t>
  </si>
  <si>
    <t>0769821355</t>
  </si>
  <si>
    <t>36490785</t>
  </si>
  <si>
    <t>4 weeks</t>
  </si>
  <si>
    <t>Mose Bahati Bevlyne</t>
  </si>
  <si>
    <t>0711670920</t>
  </si>
  <si>
    <t>32739955</t>
  </si>
  <si>
    <t>Evans Mogoah Nyaega</t>
  </si>
  <si>
    <t>0715909749</t>
  </si>
  <si>
    <t>30824402</t>
  </si>
  <si>
    <t>Abigael Gichemba Noah</t>
  </si>
  <si>
    <t>0746130036</t>
  </si>
  <si>
    <t>32798367</t>
  </si>
  <si>
    <t>John Kanini Nyaga</t>
  </si>
  <si>
    <t>0702014098</t>
  </si>
  <si>
    <t>26654076</t>
  </si>
  <si>
    <t>Mirriam Wanjiku Gitonga</t>
  </si>
  <si>
    <t>0725714984</t>
  </si>
  <si>
    <t>20196938</t>
  </si>
  <si>
    <t xml:space="preserve">Regina Wangari Mwangi </t>
  </si>
  <si>
    <t>0742754722</t>
  </si>
  <si>
    <t>23459786</t>
  </si>
  <si>
    <t>Milka</t>
  </si>
  <si>
    <t>Samuel Kahura Kabiro</t>
  </si>
  <si>
    <t>0725940977</t>
  </si>
  <si>
    <t>20473278</t>
  </si>
  <si>
    <t>Isaac Njogu Muiruri</t>
  </si>
  <si>
    <t>0717537152</t>
  </si>
  <si>
    <t>27522952</t>
  </si>
  <si>
    <t>Paul Kariuki Wangaru</t>
  </si>
  <si>
    <t>0741724262</t>
  </si>
  <si>
    <t>13882897</t>
  </si>
  <si>
    <t>Michael Ndungu Kimani</t>
  </si>
  <si>
    <t>0725946628</t>
  </si>
  <si>
    <t>13559323</t>
  </si>
  <si>
    <t>Francis Waweru Wang'ombe</t>
  </si>
  <si>
    <t>0721179725</t>
  </si>
  <si>
    <t>33439693</t>
  </si>
  <si>
    <t>Isaac Kangau Muthee</t>
  </si>
  <si>
    <t>0745878870</t>
  </si>
  <si>
    <t>33335310</t>
  </si>
  <si>
    <t>Josphine Wanjiru Mbae</t>
  </si>
  <si>
    <t>0706414682</t>
  </si>
  <si>
    <t>9504030</t>
  </si>
  <si>
    <t>John Mbae Kimani</t>
  </si>
  <si>
    <t>0713865645</t>
  </si>
  <si>
    <t>5751224</t>
  </si>
  <si>
    <t>Everlyne Atieno Ochieng</t>
  </si>
  <si>
    <t>0706200790</t>
  </si>
  <si>
    <t>315103</t>
  </si>
  <si>
    <t>Beatrice Akinyi Ombija</t>
  </si>
  <si>
    <t>0713537118</t>
  </si>
  <si>
    <t>40694586</t>
  </si>
  <si>
    <t>0119675041</t>
  </si>
  <si>
    <t>Ann Njoki Njanja</t>
  </si>
  <si>
    <t>0798733681</t>
  </si>
  <si>
    <t>36160319</t>
  </si>
  <si>
    <r>
      <rPr>
        <sz val="11"/>
        <color rgb="FF000000"/>
        <rFont val="Aptos Narrow"/>
      </rPr>
      <t>Sera Wanjiku Mwang</t>
    </r>
    <r>
      <rPr>
        <sz val="11"/>
        <color rgb="FFFF0000"/>
        <rFont val="Calibri"/>
      </rPr>
      <t>i</t>
    </r>
  </si>
  <si>
    <t>0715072434</t>
  </si>
  <si>
    <t>11729390</t>
  </si>
  <si>
    <t xml:space="preserve">Philip Muriithi Mwangi </t>
  </si>
  <si>
    <t>0715025272</t>
  </si>
  <si>
    <t>1143091</t>
  </si>
  <si>
    <t>Teresiah Wanjiru Kanyi</t>
  </si>
  <si>
    <t>0729296712</t>
  </si>
  <si>
    <t>2950435</t>
  </si>
  <si>
    <t>Eneta Wambui Mwaniki</t>
  </si>
  <si>
    <t>0797064929</t>
  </si>
  <si>
    <t>25751645</t>
  </si>
  <si>
    <t>Simon Kinyanjui Nguhi</t>
  </si>
  <si>
    <t>0741304619</t>
  </si>
  <si>
    <t>27052355</t>
  </si>
  <si>
    <t>Isaac Mbae Nyoro</t>
  </si>
  <si>
    <t>0731818745</t>
  </si>
  <si>
    <t>25203845</t>
  </si>
  <si>
    <t>Evalyne Mugure Mwaura</t>
  </si>
  <si>
    <t>0713068523</t>
  </si>
  <si>
    <t>41394930</t>
  </si>
  <si>
    <t>Agnes Wambui Kamau</t>
  </si>
  <si>
    <t>0727050349</t>
  </si>
  <si>
    <t>11535057</t>
  </si>
  <si>
    <t>John Musyoka Kamene</t>
  </si>
  <si>
    <t>0707420132</t>
  </si>
  <si>
    <t>28726796</t>
  </si>
  <si>
    <t>Ann Wambui Nyambura</t>
  </si>
  <si>
    <t>0748413174</t>
  </si>
  <si>
    <t>23795806</t>
  </si>
  <si>
    <t>Sarah Muthoni Wanjiru</t>
  </si>
  <si>
    <t>0795042054</t>
  </si>
  <si>
    <t>27774973</t>
  </si>
  <si>
    <t>Pauline Ngubia Waweru</t>
  </si>
  <si>
    <t>0742794403</t>
  </si>
  <si>
    <t>24360071</t>
  </si>
  <si>
    <t>Margaret Moraa Kirera</t>
  </si>
  <si>
    <t>0728843845</t>
  </si>
  <si>
    <t>21143242</t>
  </si>
  <si>
    <t>Margaret Mwithaki Kimani</t>
  </si>
  <si>
    <t>0792373496</t>
  </si>
  <si>
    <t>33807228</t>
  </si>
  <si>
    <t>Ambrosia Wanja Mwangi</t>
  </si>
  <si>
    <t>0721422565</t>
  </si>
  <si>
    <t>11082073</t>
  </si>
  <si>
    <t>Catherine Njeri Monyo</t>
  </si>
  <si>
    <t>0769638347</t>
  </si>
  <si>
    <t>35075944</t>
  </si>
  <si>
    <t>Mary Njeri Kimani</t>
  </si>
  <si>
    <t>0710807679</t>
  </si>
  <si>
    <t>25221358</t>
  </si>
  <si>
    <t>Beth Wambui Kihiko</t>
  </si>
  <si>
    <t>0796478898</t>
  </si>
  <si>
    <t>42273689</t>
  </si>
  <si>
    <t>Susan Wambui Matu</t>
  </si>
  <si>
    <t>0715155936</t>
  </si>
  <si>
    <t>26214022</t>
  </si>
  <si>
    <t>Wambui Beth Wangari</t>
  </si>
  <si>
    <t>0700483702</t>
  </si>
  <si>
    <t>414846882</t>
  </si>
  <si>
    <r>
      <t xml:space="preserve">Teresa Wanjiku Nyaguthii </t>
    </r>
    <r>
      <rPr>
        <b/>
        <sz val="12"/>
        <color rgb="FF00B0F0"/>
        <rFont val="Aptos Narrow"/>
        <family val="2"/>
        <scheme val="minor"/>
      </rPr>
      <t>(REPEAT)</t>
    </r>
  </si>
  <si>
    <t xml:space="preserve">Tabitha Wangari Ndiro </t>
  </si>
  <si>
    <t>0794080835</t>
  </si>
  <si>
    <t>39262726</t>
  </si>
  <si>
    <t>Esther Nyakiri Chege</t>
  </si>
  <si>
    <t>0743958657</t>
  </si>
  <si>
    <t>24573957</t>
  </si>
  <si>
    <t>6 weeks</t>
  </si>
  <si>
    <t>Rahab Wanjiku Kimani</t>
  </si>
  <si>
    <t>0704919175</t>
  </si>
  <si>
    <t>5751111</t>
  </si>
  <si>
    <t>Simon Nganga Kariuki</t>
  </si>
  <si>
    <t>0712731304</t>
  </si>
  <si>
    <t>38823878</t>
  </si>
  <si>
    <t>Margaret Nyambura Mugekenyi</t>
  </si>
  <si>
    <t>0113017122</t>
  </si>
  <si>
    <t>24034006</t>
  </si>
  <si>
    <t>Esther Muthoni Mwaura</t>
  </si>
  <si>
    <t>0704888492</t>
  </si>
  <si>
    <t>27593134</t>
  </si>
  <si>
    <t>Evalyne Wanjiru Gichuhi</t>
  </si>
  <si>
    <t>0727633627</t>
  </si>
  <si>
    <t>28599488</t>
  </si>
  <si>
    <t>Mary Wangari Mwangi</t>
  </si>
  <si>
    <t>0115931777</t>
  </si>
  <si>
    <t>35210930</t>
  </si>
  <si>
    <t>Patrick Mathenge Wachira</t>
  </si>
  <si>
    <t>0743201965</t>
  </si>
  <si>
    <t>13212667</t>
  </si>
  <si>
    <t>Paul Ng'ang'a Gichuhi</t>
  </si>
  <si>
    <t>0712089478</t>
  </si>
  <si>
    <t>24583280</t>
  </si>
  <si>
    <t>Samuel Ruhangi Mwangi</t>
  </si>
  <si>
    <t>0722610107</t>
  </si>
  <si>
    <t>12417467</t>
  </si>
  <si>
    <t>John Kimani Ngotho</t>
  </si>
  <si>
    <t>0721156069</t>
  </si>
  <si>
    <t>8840075</t>
  </si>
  <si>
    <t>Teresiah Nduta Gitau</t>
  </si>
  <si>
    <t>0717160355</t>
  </si>
  <si>
    <t>26903488</t>
  </si>
  <si>
    <t>Kennedy Kirumba Gitau</t>
  </si>
  <si>
    <t>0114975258</t>
  </si>
  <si>
    <t>41733907</t>
  </si>
  <si>
    <t>John Mirara Muthoga</t>
  </si>
  <si>
    <t>0720141895</t>
  </si>
  <si>
    <t>22372303</t>
  </si>
  <si>
    <t>Patrick Njoroge Kungu</t>
  </si>
  <si>
    <t>0745078949</t>
  </si>
  <si>
    <t>22844442</t>
  </si>
  <si>
    <t>Hannah Nyaguthii</t>
  </si>
  <si>
    <t>0716838439</t>
  </si>
  <si>
    <t>24938672</t>
  </si>
  <si>
    <t>Mirriam Wairimu Gitaka</t>
  </si>
  <si>
    <t>0741123659</t>
  </si>
  <si>
    <t>41675672</t>
  </si>
  <si>
    <t>Mercy Nyambura Maina</t>
  </si>
  <si>
    <t>0705110957</t>
  </si>
  <si>
    <t>27492006</t>
  </si>
  <si>
    <t>Tabitha Waithera Ndungu</t>
  </si>
  <si>
    <t>0797744897</t>
  </si>
  <si>
    <t>31424071</t>
  </si>
  <si>
    <t>Esther Njambi Numera</t>
  </si>
  <si>
    <t>0720323442</t>
  </si>
  <si>
    <t>26869225</t>
  </si>
  <si>
    <t>Mary Wanjiku Muigai</t>
  </si>
  <si>
    <t>0715641477</t>
  </si>
  <si>
    <t>20797859</t>
  </si>
  <si>
    <t>Elizabeth Nyambura Gitau</t>
  </si>
  <si>
    <t>0716589853</t>
  </si>
  <si>
    <t>27860175</t>
  </si>
  <si>
    <t>Esther Wanjiru Muriithi</t>
  </si>
  <si>
    <t>0111573126</t>
  </si>
  <si>
    <t>24423921</t>
  </si>
  <si>
    <t>Fredrick Odionyi</t>
  </si>
  <si>
    <t>0723294698</t>
  </si>
  <si>
    <t>26744903</t>
  </si>
  <si>
    <t>Dorcas Wambui Kamau</t>
  </si>
  <si>
    <t>0718958835</t>
  </si>
  <si>
    <t>23457081</t>
  </si>
  <si>
    <t>Salome Njeri Mbuthia</t>
  </si>
  <si>
    <t>0710359610</t>
  </si>
  <si>
    <t>28382916</t>
  </si>
  <si>
    <t>Mary Njeri Kamau</t>
  </si>
  <si>
    <t>0716427700</t>
  </si>
  <si>
    <t>26689967</t>
  </si>
  <si>
    <t>Naomi Wanjiru Njuguna</t>
  </si>
  <si>
    <t>0701890277</t>
  </si>
  <si>
    <t>28102915</t>
  </si>
  <si>
    <t>Grace Wambui Kirungo</t>
  </si>
  <si>
    <t>0748838165</t>
  </si>
  <si>
    <t>41230142</t>
  </si>
  <si>
    <t>Jackson Njogu Ndekei</t>
  </si>
  <si>
    <t>0758457833</t>
  </si>
  <si>
    <t>33003036</t>
  </si>
  <si>
    <t>Benson Muthee Kinyanjui</t>
  </si>
  <si>
    <t>0114361766</t>
  </si>
  <si>
    <t>42559385</t>
  </si>
  <si>
    <t>Esther Gathoni Chege</t>
  </si>
  <si>
    <t>0724706953</t>
  </si>
  <si>
    <t>25476433</t>
  </si>
  <si>
    <t>Josphine Njoki Ndung'u</t>
  </si>
  <si>
    <t>0725569996</t>
  </si>
  <si>
    <t>8335014</t>
  </si>
  <si>
    <t>Catherine Wachuka Kariuki</t>
  </si>
  <si>
    <t>0722572202</t>
  </si>
  <si>
    <t>7028707</t>
  </si>
  <si>
    <t>Jackline Warukira Kariuki</t>
  </si>
  <si>
    <t>0702695058</t>
  </si>
  <si>
    <t>24532047</t>
  </si>
  <si>
    <t>Jane Wanjiku Macharia</t>
  </si>
  <si>
    <t>0721307339</t>
  </si>
  <si>
    <t>25486582</t>
  </si>
  <si>
    <t>Peter Karibu Githitu</t>
  </si>
  <si>
    <t>0701640618</t>
  </si>
  <si>
    <t>2928933</t>
  </si>
  <si>
    <t>Damaris Wairimu Mwangi</t>
  </si>
  <si>
    <t>0791508489</t>
  </si>
  <si>
    <t>31012591</t>
  </si>
  <si>
    <t>Grace Wanjiru Karungo</t>
  </si>
  <si>
    <t>0727903371</t>
  </si>
  <si>
    <t>26532536</t>
  </si>
  <si>
    <t>Grace Mugure Macharia</t>
  </si>
  <si>
    <t>0116606404</t>
  </si>
  <si>
    <t>32517912</t>
  </si>
  <si>
    <t>Grace Wambui Ndiritu</t>
  </si>
  <si>
    <t>0115444106</t>
  </si>
  <si>
    <t>36158718</t>
  </si>
  <si>
    <t>Nelson Mwangi Kirima</t>
  </si>
  <si>
    <t>0791724230</t>
  </si>
  <si>
    <t>22118116</t>
  </si>
  <si>
    <t>Paul Thiong'o Mwangi</t>
  </si>
  <si>
    <t>0717034868</t>
  </si>
  <si>
    <t>22008675</t>
  </si>
  <si>
    <t>Tabitha Wangari Kimani</t>
  </si>
  <si>
    <t>0715484117</t>
  </si>
  <si>
    <t>26275607</t>
  </si>
  <si>
    <t>Juliana Nyokabi Njogu</t>
  </si>
  <si>
    <t>0704296513</t>
  </si>
  <si>
    <t>27178975</t>
  </si>
  <si>
    <t>Monica Wanjiru</t>
  </si>
  <si>
    <t>0706815518</t>
  </si>
  <si>
    <t>25532121</t>
  </si>
  <si>
    <t>Ruth Wairimu Ngatia</t>
  </si>
  <si>
    <t>0721320807</t>
  </si>
  <si>
    <t>23050436</t>
  </si>
  <si>
    <r>
      <rPr>
        <sz val="11"/>
        <color rgb="FF000000"/>
        <rFont val="Calibri"/>
      </rPr>
      <t>Mose Bahati Bevlyne</t>
    </r>
    <r>
      <rPr>
        <b/>
        <sz val="12"/>
        <color rgb="FF00B0F0"/>
        <rFont val="Calibri"/>
      </rPr>
      <t>(Repeat)</t>
    </r>
  </si>
  <si>
    <t>Mercy Murugi Mutundu</t>
  </si>
  <si>
    <t>0707405265</t>
  </si>
  <si>
    <t>40106842</t>
  </si>
  <si>
    <r>
      <rPr>
        <sz val="11"/>
        <color rgb="FF000000"/>
        <rFont val="Aptos Narrow"/>
        <scheme val="minor"/>
      </rPr>
      <t>Jane Njeri Wanjiku</t>
    </r>
    <r>
      <rPr>
        <b/>
        <sz val="12"/>
        <color rgb="FF00B0F0"/>
        <rFont val="Aptos Narrow"/>
        <scheme val="minor"/>
      </rPr>
      <t xml:space="preserve"> (repeat)</t>
    </r>
  </si>
  <si>
    <r>
      <t>Priscillah Nyambura Mutonya</t>
    </r>
    <r>
      <rPr>
        <b/>
        <sz val="12"/>
        <color rgb="FF00B0F0"/>
        <rFont val="Aptos Narrow"/>
        <family val="2"/>
        <scheme val="minor"/>
      </rPr>
      <t xml:space="preserve"> (REPEAT)</t>
    </r>
  </si>
  <si>
    <r>
      <t xml:space="preserve">Abigael Gichemba Noah </t>
    </r>
    <r>
      <rPr>
        <b/>
        <sz val="12"/>
        <color rgb="FF00B0F0"/>
        <rFont val="Aptos Narrow"/>
        <family val="2"/>
        <scheme val="minor"/>
      </rPr>
      <t>(REPEAT)</t>
    </r>
  </si>
  <si>
    <t>Leah Wanjiru Waweru</t>
  </si>
  <si>
    <t>0142165052</t>
  </si>
  <si>
    <t>9815102</t>
  </si>
  <si>
    <t>Hannah Nyokabi Kungu</t>
  </si>
  <si>
    <t>0715007156</t>
  </si>
  <si>
    <t>21137022</t>
  </si>
  <si>
    <t>Peter Maina Mworia</t>
  </si>
  <si>
    <t>0703560538</t>
  </si>
  <si>
    <t>21905797</t>
  </si>
  <si>
    <t>David Maina Wambui</t>
  </si>
  <si>
    <t>0758411395</t>
  </si>
  <si>
    <t>35607675</t>
  </si>
  <si>
    <t xml:space="preserve">Monica Wambui Nguku </t>
  </si>
  <si>
    <t>0798258604</t>
  </si>
  <si>
    <t>8060028</t>
  </si>
  <si>
    <t>Andrew Mungai Thuo</t>
  </si>
  <si>
    <t>0706106746</t>
  </si>
  <si>
    <t>42769177</t>
  </si>
  <si>
    <t>Sera Muringa Ruoro</t>
  </si>
  <si>
    <t>0740897616</t>
  </si>
  <si>
    <t>24633265</t>
  </si>
  <si>
    <t>Obadiah Mburu Ruoro</t>
  </si>
  <si>
    <t>0712477429</t>
  </si>
  <si>
    <t>26795344</t>
  </si>
  <si>
    <t>Beatrice Nyambura Mwangi</t>
  </si>
  <si>
    <t>0726601789</t>
  </si>
  <si>
    <t>27307693</t>
  </si>
  <si>
    <t>Esther Wambui Wachira</t>
  </si>
  <si>
    <t>0727118382</t>
  </si>
  <si>
    <t>24973924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</si>
</sst>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2"/>
      <color rgb="FF00B0F0"/>
      <name val="Calibri"/>
    </font>
    <font>
      <b/>
      <u/>
      <sz val="20"/>
      <color theme="1"/>
      <name val="Aptos Narrow"/>
      <family val="2"/>
      <scheme val="minor"/>
    </font>
    <font>
      <b/>
      <u val="double"/>
      <sz val="18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FF0000"/>
      <name val="Calibri"/>
    </font>
    <font>
      <sz val="11"/>
      <color theme="1"/>
      <name val="Aptos Narrow"/>
      <family val="2"/>
    </font>
    <font>
      <b/>
      <sz val="12"/>
      <color rgb="FF0E284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rgb="FF00B0F0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0" fillId="0" borderId="1" xfId="0" applyNumberFormat="1" applyBorder="1"/>
    <xf numFmtId="0" fontId="11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8" fillId="0" borderId="1" xfId="0" applyFont="1" applyBorder="1"/>
    <xf numFmtId="49" fontId="8" fillId="0" borderId="1" xfId="0" applyNumberFormat="1" applyFont="1" applyBorder="1"/>
    <xf numFmtId="0" fontId="12" fillId="0" borderId="1" xfId="0" applyFont="1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/>
    <xf numFmtId="0" fontId="13" fillId="0" borderId="0" xfId="0" applyFont="1"/>
    <xf numFmtId="0" fontId="15" fillId="0" borderId="0" xfId="0" applyFont="1"/>
    <xf numFmtId="0" fontId="14" fillId="0" borderId="0" xfId="0" applyFont="1"/>
    <xf numFmtId="164" fontId="0" fillId="0" borderId="3" xfId="0" applyNumberFormat="1" applyBorder="1"/>
    <xf numFmtId="0" fontId="4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16" fillId="0" borderId="3" xfId="0" applyFont="1" applyBorder="1"/>
    <xf numFmtId="0" fontId="1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>
      <selection activeCell="C1" sqref="C1:C1048576"/>
    </sheetView>
  </sheetViews>
  <sheetFormatPr defaultRowHeight="14.5" x14ac:dyDescent="0.35"/>
  <cols>
    <col min="2" max="2" width="13.81640625" customWidth="1"/>
    <col min="3" max="3" width="34" customWidth="1"/>
    <col min="4" max="5" width="20.54296875" customWidth="1"/>
    <col min="6" max="6" width="26.81640625" customWidth="1"/>
    <col min="7" max="8" width="17.54296875" customWidth="1"/>
    <col min="9" max="9" width="13.1796875" customWidth="1"/>
    <col min="10" max="10" width="17.81640625" customWidth="1"/>
    <col min="11" max="11" width="12.7265625" customWidth="1"/>
    <col min="12" max="12" width="14.26953125" customWidth="1"/>
    <col min="13" max="13" width="11.453125" customWidth="1"/>
  </cols>
  <sheetData>
    <row r="1" spans="1:14" ht="16" x14ac:dyDescent="0.4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2"/>
    </row>
    <row r="2" spans="1:14" x14ac:dyDescent="0.35">
      <c r="A2" s="2"/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3">
        <v>1</v>
      </c>
      <c r="B3" s="13">
        <v>46269</v>
      </c>
      <c r="C3" s="2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2" t="s">
        <v>19</v>
      </c>
      <c r="J3" s="2">
        <v>10000</v>
      </c>
      <c r="K3" s="2">
        <f t="shared" ref="K3:K39" si="0">IF(J3&lt;10000,2000,IF(I3="6 weeks",J3*30%,IF(I3="4 weeks",J3*20%,0)))</f>
        <v>3000</v>
      </c>
      <c r="L3" s="2">
        <f t="shared" ref="L3:L27" si="1">ROUND((J3+K3)/IF(I3="4 weeks",4,IF(I3="6 weeks",6,0)),0)</f>
        <v>2167</v>
      </c>
      <c r="M3" s="2" t="s">
        <v>20</v>
      </c>
      <c r="N3" s="2" t="s">
        <v>21</v>
      </c>
    </row>
    <row r="4" spans="1:14" x14ac:dyDescent="0.35">
      <c r="A4" s="3">
        <v>2</v>
      </c>
      <c r="B4" s="13">
        <v>46269</v>
      </c>
      <c r="C4" s="2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2" t="s">
        <v>28</v>
      </c>
      <c r="J4" s="2">
        <v>15000</v>
      </c>
      <c r="K4" s="2">
        <f t="shared" si="0"/>
        <v>3000</v>
      </c>
      <c r="L4" s="2">
        <f t="shared" si="1"/>
        <v>4500</v>
      </c>
      <c r="M4" s="2" t="s">
        <v>20</v>
      </c>
      <c r="N4" s="2" t="s">
        <v>21</v>
      </c>
    </row>
    <row r="5" spans="1:14" x14ac:dyDescent="0.35">
      <c r="A5" s="3">
        <v>3</v>
      </c>
      <c r="B5" s="13">
        <v>46272</v>
      </c>
      <c r="C5" s="2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2" t="s">
        <v>35</v>
      </c>
      <c r="J5" s="2">
        <v>10000</v>
      </c>
      <c r="K5" s="2">
        <f t="shared" si="0"/>
        <v>2000</v>
      </c>
      <c r="L5" s="2">
        <f t="shared" si="1"/>
        <v>3000</v>
      </c>
      <c r="M5" s="2" t="s">
        <v>20</v>
      </c>
      <c r="N5" s="2" t="s">
        <v>21</v>
      </c>
    </row>
    <row r="6" spans="1:14" x14ac:dyDescent="0.35">
      <c r="A6" s="3">
        <v>4</v>
      </c>
      <c r="B6" s="13">
        <v>46274</v>
      </c>
      <c r="C6" s="2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2" t="s">
        <v>28</v>
      </c>
      <c r="J6" s="2">
        <v>20000</v>
      </c>
      <c r="K6" s="2">
        <f t="shared" si="0"/>
        <v>4000</v>
      </c>
      <c r="L6" s="2">
        <f t="shared" si="1"/>
        <v>6000</v>
      </c>
      <c r="M6" s="2" t="s">
        <v>20</v>
      </c>
      <c r="N6" s="2" t="s">
        <v>21</v>
      </c>
    </row>
    <row r="7" spans="1:14" x14ac:dyDescent="0.35">
      <c r="A7" s="3">
        <v>5</v>
      </c>
      <c r="B7" s="13">
        <v>46274</v>
      </c>
      <c r="C7" s="2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2" t="s">
        <v>28</v>
      </c>
      <c r="J7" s="2">
        <v>20000</v>
      </c>
      <c r="K7" s="2">
        <f t="shared" si="0"/>
        <v>4000</v>
      </c>
      <c r="L7" s="2">
        <f t="shared" si="1"/>
        <v>6000</v>
      </c>
      <c r="M7" s="2" t="s">
        <v>20</v>
      </c>
      <c r="N7" s="2" t="s">
        <v>21</v>
      </c>
    </row>
    <row r="8" spans="1:14" x14ac:dyDescent="0.35">
      <c r="A8" s="3">
        <v>6</v>
      </c>
      <c r="B8" s="13">
        <v>46274</v>
      </c>
      <c r="C8" s="2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2" t="s">
        <v>35</v>
      </c>
      <c r="J8" s="2">
        <v>8000</v>
      </c>
      <c r="K8" s="2">
        <f t="shared" si="0"/>
        <v>2000</v>
      </c>
      <c r="L8" s="2">
        <f t="shared" si="1"/>
        <v>2500</v>
      </c>
      <c r="M8" s="2" t="s">
        <v>20</v>
      </c>
      <c r="N8" s="2" t="s">
        <v>54</v>
      </c>
    </row>
    <row r="9" spans="1:14" x14ac:dyDescent="0.35">
      <c r="A9" s="3">
        <v>7</v>
      </c>
      <c r="B9" s="13">
        <v>46275</v>
      </c>
      <c r="C9" s="2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2" t="s">
        <v>28</v>
      </c>
      <c r="J9" s="2">
        <v>7000</v>
      </c>
      <c r="K9" s="2">
        <f t="shared" si="0"/>
        <v>2000</v>
      </c>
      <c r="L9" s="2">
        <f t="shared" si="1"/>
        <v>2250</v>
      </c>
      <c r="M9" s="2">
        <v>4500</v>
      </c>
      <c r="N9" s="2" t="s">
        <v>54</v>
      </c>
    </row>
    <row r="10" spans="1:14" x14ac:dyDescent="0.35">
      <c r="A10" s="3">
        <v>8</v>
      </c>
      <c r="B10" s="13">
        <v>46275</v>
      </c>
      <c r="C10" s="2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2" t="s">
        <v>28</v>
      </c>
      <c r="J10" s="2">
        <v>20000</v>
      </c>
      <c r="K10" s="2">
        <f t="shared" si="0"/>
        <v>4000</v>
      </c>
      <c r="L10" s="2">
        <f t="shared" si="1"/>
        <v>6000</v>
      </c>
      <c r="M10" s="2" t="s">
        <v>20</v>
      </c>
      <c r="N10" s="2" t="s">
        <v>21</v>
      </c>
    </row>
    <row r="11" spans="1:14" x14ac:dyDescent="0.35">
      <c r="A11" s="3">
        <v>9</v>
      </c>
      <c r="B11" s="13">
        <v>46275</v>
      </c>
      <c r="C11" s="2" t="s">
        <v>67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72</v>
      </c>
      <c r="I11" s="2" t="s">
        <v>19</v>
      </c>
      <c r="J11" s="2">
        <v>10000</v>
      </c>
      <c r="K11" s="2">
        <f t="shared" si="0"/>
        <v>3000</v>
      </c>
      <c r="L11" s="2">
        <f t="shared" si="1"/>
        <v>2167</v>
      </c>
      <c r="M11" s="2" t="s">
        <v>20</v>
      </c>
      <c r="N11" s="2" t="s">
        <v>54</v>
      </c>
    </row>
    <row r="12" spans="1:14" x14ac:dyDescent="0.35">
      <c r="A12" s="3">
        <v>10</v>
      </c>
      <c r="B12" s="13">
        <v>46276</v>
      </c>
      <c r="C12" s="2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78</v>
      </c>
      <c r="I12" s="2" t="s">
        <v>19</v>
      </c>
      <c r="J12" s="2">
        <v>20000</v>
      </c>
      <c r="K12" s="2">
        <f t="shared" si="0"/>
        <v>6000</v>
      </c>
      <c r="L12" s="2">
        <f t="shared" si="1"/>
        <v>4333</v>
      </c>
      <c r="M12" s="2">
        <v>17332</v>
      </c>
      <c r="N12" s="2" t="s">
        <v>21</v>
      </c>
    </row>
    <row r="13" spans="1:14" x14ac:dyDescent="0.35">
      <c r="A13" s="3">
        <v>11</v>
      </c>
      <c r="B13" s="13">
        <v>46276</v>
      </c>
      <c r="C13" s="2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  <c r="I13" s="2" t="s">
        <v>19</v>
      </c>
      <c r="J13" s="2">
        <v>10000</v>
      </c>
      <c r="K13" s="2">
        <f t="shared" si="0"/>
        <v>3000</v>
      </c>
      <c r="L13" s="2">
        <f t="shared" si="1"/>
        <v>2167</v>
      </c>
      <c r="M13" s="2">
        <v>8666</v>
      </c>
      <c r="N13" s="2" t="s">
        <v>21</v>
      </c>
    </row>
    <row r="14" spans="1:14" x14ac:dyDescent="0.35">
      <c r="A14" s="3">
        <v>12</v>
      </c>
      <c r="B14" s="13">
        <v>46276</v>
      </c>
      <c r="C14" s="2" t="s">
        <v>25</v>
      </c>
      <c r="D14" s="4" t="s">
        <v>85</v>
      </c>
      <c r="E14" s="4" t="s">
        <v>27</v>
      </c>
      <c r="F14" s="4" t="s">
        <v>86</v>
      </c>
      <c r="G14" s="4" t="s">
        <v>87</v>
      </c>
      <c r="H14" s="4" t="s">
        <v>88</v>
      </c>
      <c r="I14" s="2" t="s">
        <v>28</v>
      </c>
      <c r="J14" s="2">
        <v>10000</v>
      </c>
      <c r="K14" s="2">
        <f t="shared" si="0"/>
        <v>2000</v>
      </c>
      <c r="L14" s="2">
        <f t="shared" si="1"/>
        <v>3000</v>
      </c>
      <c r="M14" s="2">
        <v>9000</v>
      </c>
      <c r="N14" s="2" t="s">
        <v>21</v>
      </c>
    </row>
    <row r="15" spans="1:14" x14ac:dyDescent="0.35">
      <c r="A15" s="3">
        <v>13</v>
      </c>
      <c r="B15" s="13">
        <v>46280</v>
      </c>
      <c r="C15" s="5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94</v>
      </c>
      <c r="I15" s="4" t="s">
        <v>19</v>
      </c>
      <c r="J15" s="2">
        <v>15000</v>
      </c>
      <c r="K15" s="2">
        <f t="shared" si="0"/>
        <v>4500</v>
      </c>
      <c r="L15" s="2">
        <f t="shared" si="1"/>
        <v>3250</v>
      </c>
      <c r="M15" s="2">
        <v>13000</v>
      </c>
      <c r="N15" s="2" t="s">
        <v>54</v>
      </c>
    </row>
    <row r="16" spans="1:14" x14ac:dyDescent="0.35">
      <c r="A16" s="3">
        <v>14</v>
      </c>
      <c r="B16" s="13">
        <v>46280</v>
      </c>
      <c r="C16" s="2" t="s">
        <v>95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19</v>
      </c>
      <c r="J16" s="2">
        <v>10000</v>
      </c>
      <c r="K16" s="2">
        <f t="shared" si="0"/>
        <v>3000</v>
      </c>
      <c r="L16" s="2">
        <f t="shared" si="1"/>
        <v>2167</v>
      </c>
      <c r="M16" s="2">
        <v>8666</v>
      </c>
      <c r="N16" s="2" t="s">
        <v>54</v>
      </c>
    </row>
    <row r="17" spans="1:14" x14ac:dyDescent="0.35">
      <c r="A17" s="3">
        <v>15</v>
      </c>
      <c r="B17" s="13">
        <v>46280</v>
      </c>
      <c r="C17" s="2" t="s">
        <v>101</v>
      </c>
      <c r="D17" s="4" t="s">
        <v>102</v>
      </c>
      <c r="E17" s="4" t="s">
        <v>103</v>
      </c>
      <c r="F17" s="4" t="s">
        <v>104</v>
      </c>
      <c r="G17" s="4" t="s">
        <v>105</v>
      </c>
      <c r="H17" s="4" t="s">
        <v>106</v>
      </c>
      <c r="I17" s="4" t="s">
        <v>19</v>
      </c>
      <c r="J17" s="2">
        <v>16000</v>
      </c>
      <c r="K17" s="2">
        <f t="shared" si="0"/>
        <v>4800</v>
      </c>
      <c r="L17" s="2">
        <f t="shared" si="1"/>
        <v>3467</v>
      </c>
      <c r="M17" s="2">
        <v>13866</v>
      </c>
      <c r="N17" s="2" t="s">
        <v>54</v>
      </c>
    </row>
    <row r="18" spans="1:14" x14ac:dyDescent="0.35">
      <c r="A18" s="3">
        <v>16</v>
      </c>
      <c r="B18" s="13">
        <v>46280</v>
      </c>
      <c r="C18" s="2" t="s">
        <v>107</v>
      </c>
      <c r="D18" s="4" t="s">
        <v>108</v>
      </c>
      <c r="E18" s="4" t="s">
        <v>109</v>
      </c>
      <c r="F18" s="4" t="s">
        <v>110</v>
      </c>
      <c r="G18" s="4" t="s">
        <v>111</v>
      </c>
      <c r="H18" s="4" t="s">
        <v>112</v>
      </c>
      <c r="I18" s="4" t="s">
        <v>19</v>
      </c>
      <c r="J18" s="2">
        <v>10000</v>
      </c>
      <c r="K18" s="2">
        <f t="shared" si="0"/>
        <v>3000</v>
      </c>
      <c r="L18" s="2">
        <f t="shared" si="1"/>
        <v>2167</v>
      </c>
      <c r="M18" s="2" t="s">
        <v>20</v>
      </c>
      <c r="N18" s="2" t="s">
        <v>21</v>
      </c>
    </row>
    <row r="19" spans="1:14" x14ac:dyDescent="0.35">
      <c r="A19" s="3">
        <v>17</v>
      </c>
      <c r="B19" s="13">
        <v>46280</v>
      </c>
      <c r="C19" s="2" t="s">
        <v>113</v>
      </c>
      <c r="D19" s="4" t="s">
        <v>114</v>
      </c>
      <c r="E19" s="4" t="s">
        <v>115</v>
      </c>
      <c r="F19" s="4" t="s">
        <v>116</v>
      </c>
      <c r="G19" s="4" t="s">
        <v>117</v>
      </c>
      <c r="H19" s="4" t="s">
        <v>118</v>
      </c>
      <c r="I19" s="4" t="s">
        <v>19</v>
      </c>
      <c r="J19" s="2">
        <v>12000</v>
      </c>
      <c r="K19" s="2">
        <f t="shared" si="0"/>
        <v>3600</v>
      </c>
      <c r="L19" s="2">
        <f t="shared" si="1"/>
        <v>2600</v>
      </c>
      <c r="M19" s="2">
        <v>10400</v>
      </c>
      <c r="N19" s="2" t="s">
        <v>21</v>
      </c>
    </row>
    <row r="20" spans="1:14" x14ac:dyDescent="0.35">
      <c r="A20" s="3">
        <v>18</v>
      </c>
      <c r="B20" s="13">
        <v>46280</v>
      </c>
      <c r="C20" s="2" t="s">
        <v>119</v>
      </c>
      <c r="D20" s="4" t="s">
        <v>120</v>
      </c>
      <c r="E20" s="4" t="s">
        <v>121</v>
      </c>
      <c r="F20" s="4" t="s">
        <v>122</v>
      </c>
      <c r="G20" s="4" t="s">
        <v>123</v>
      </c>
      <c r="H20" s="4" t="s">
        <v>124</v>
      </c>
      <c r="I20" s="4" t="s">
        <v>19</v>
      </c>
      <c r="J20" s="2">
        <v>15000</v>
      </c>
      <c r="K20" s="2">
        <f t="shared" si="0"/>
        <v>4500</v>
      </c>
      <c r="L20" s="2">
        <f t="shared" si="1"/>
        <v>3250</v>
      </c>
      <c r="M20" s="2">
        <v>13000</v>
      </c>
      <c r="N20" s="2" t="s">
        <v>21</v>
      </c>
    </row>
    <row r="21" spans="1:14" x14ac:dyDescent="0.35">
      <c r="A21" s="3">
        <v>19</v>
      </c>
      <c r="B21" s="13">
        <v>46280</v>
      </c>
      <c r="C21" s="2" t="s">
        <v>125</v>
      </c>
      <c r="D21" s="4" t="s">
        <v>126</v>
      </c>
      <c r="E21" s="4" t="s">
        <v>127</v>
      </c>
      <c r="F21" s="4" t="s">
        <v>128</v>
      </c>
      <c r="G21" s="4" t="s">
        <v>129</v>
      </c>
      <c r="H21" s="4" t="s">
        <v>130</v>
      </c>
      <c r="I21" s="4" t="s">
        <v>28</v>
      </c>
      <c r="J21" s="2">
        <v>10000</v>
      </c>
      <c r="K21" s="2">
        <f t="shared" si="0"/>
        <v>2000</v>
      </c>
      <c r="L21" s="2">
        <f t="shared" si="1"/>
        <v>3000</v>
      </c>
      <c r="M21" s="2">
        <v>10000</v>
      </c>
      <c r="N21" s="2" t="s">
        <v>21</v>
      </c>
    </row>
    <row r="22" spans="1:14" x14ac:dyDescent="0.35">
      <c r="A22" s="3">
        <v>20</v>
      </c>
      <c r="B22" s="13">
        <v>46280</v>
      </c>
      <c r="C22" s="2" t="s">
        <v>131</v>
      </c>
      <c r="D22" s="4" t="s">
        <v>132</v>
      </c>
      <c r="E22" s="4" t="s">
        <v>133</v>
      </c>
      <c r="F22" s="4" t="s">
        <v>134</v>
      </c>
      <c r="G22" s="4" t="s">
        <v>135</v>
      </c>
      <c r="H22" s="4" t="s">
        <v>136</v>
      </c>
      <c r="I22" s="4" t="s">
        <v>19</v>
      </c>
      <c r="J22" s="2">
        <v>10000</v>
      </c>
      <c r="K22" s="2">
        <f t="shared" si="0"/>
        <v>3000</v>
      </c>
      <c r="L22" s="2">
        <f t="shared" si="1"/>
        <v>2167</v>
      </c>
      <c r="M22" s="2">
        <v>8666</v>
      </c>
      <c r="N22" s="2" t="s">
        <v>54</v>
      </c>
    </row>
    <row r="23" spans="1:14" x14ac:dyDescent="0.35">
      <c r="A23" s="3">
        <v>21</v>
      </c>
      <c r="B23" s="13">
        <v>46280</v>
      </c>
      <c r="C23" s="2" t="s">
        <v>137</v>
      </c>
      <c r="D23" s="4" t="s">
        <v>138</v>
      </c>
      <c r="E23" s="4" t="s">
        <v>139</v>
      </c>
      <c r="F23" s="4" t="s">
        <v>140</v>
      </c>
      <c r="G23" s="4" t="s">
        <v>141</v>
      </c>
      <c r="H23" s="4" t="s">
        <v>142</v>
      </c>
      <c r="I23" s="4" t="s">
        <v>19</v>
      </c>
      <c r="J23" s="2">
        <v>20000</v>
      </c>
      <c r="K23" s="2">
        <f t="shared" si="0"/>
        <v>6000</v>
      </c>
      <c r="L23" s="2">
        <f t="shared" si="1"/>
        <v>4333</v>
      </c>
      <c r="M23" s="2">
        <v>17332</v>
      </c>
      <c r="N23" s="2" t="s">
        <v>21</v>
      </c>
    </row>
    <row r="24" spans="1:14" x14ac:dyDescent="0.35">
      <c r="A24" s="3">
        <v>22</v>
      </c>
      <c r="B24" s="13">
        <v>46280</v>
      </c>
      <c r="C24" s="2" t="s">
        <v>143</v>
      </c>
      <c r="D24" s="4" t="s">
        <v>144</v>
      </c>
      <c r="E24" s="4" t="s">
        <v>145</v>
      </c>
      <c r="F24" s="4" t="s">
        <v>146</v>
      </c>
      <c r="G24" s="4" t="s">
        <v>147</v>
      </c>
      <c r="H24" s="4" t="s">
        <v>148</v>
      </c>
      <c r="I24" s="4" t="s">
        <v>19</v>
      </c>
      <c r="J24" s="2">
        <v>15000</v>
      </c>
      <c r="K24" s="2">
        <f t="shared" si="0"/>
        <v>4500</v>
      </c>
      <c r="L24" s="2">
        <f t="shared" si="1"/>
        <v>3250</v>
      </c>
      <c r="M24" s="2">
        <v>13000</v>
      </c>
      <c r="N24" s="2" t="s">
        <v>21</v>
      </c>
    </row>
    <row r="25" spans="1:14" ht="16" x14ac:dyDescent="0.4">
      <c r="A25" s="3">
        <v>23</v>
      </c>
      <c r="B25" s="13">
        <v>46280</v>
      </c>
      <c r="C25" s="2" t="s">
        <v>149</v>
      </c>
      <c r="D25" s="4" t="s">
        <v>23</v>
      </c>
      <c r="E25" s="4" t="s">
        <v>24</v>
      </c>
      <c r="F25" s="4" t="s">
        <v>25</v>
      </c>
      <c r="G25" s="4" t="s">
        <v>26</v>
      </c>
      <c r="H25" s="4" t="s">
        <v>27</v>
      </c>
      <c r="I25" s="2" t="s">
        <v>28</v>
      </c>
      <c r="J25" s="2">
        <v>15000</v>
      </c>
      <c r="K25" s="2">
        <f t="shared" si="0"/>
        <v>3000</v>
      </c>
      <c r="L25" s="2">
        <f t="shared" si="1"/>
        <v>4500</v>
      </c>
      <c r="M25" s="2">
        <v>9000</v>
      </c>
      <c r="N25" s="2" t="s">
        <v>21</v>
      </c>
    </row>
    <row r="26" spans="1:14" x14ac:dyDescent="0.35">
      <c r="A26" s="3">
        <v>24</v>
      </c>
      <c r="B26" s="13">
        <v>46282</v>
      </c>
      <c r="C26" s="2" t="s">
        <v>150</v>
      </c>
      <c r="D26" s="4" t="s">
        <v>151</v>
      </c>
      <c r="E26" s="4" t="s">
        <v>152</v>
      </c>
      <c r="F26" s="2" t="s">
        <v>153</v>
      </c>
      <c r="G26" s="4" t="s">
        <v>154</v>
      </c>
      <c r="H26" s="4" t="s">
        <v>155</v>
      </c>
      <c r="I26" s="4" t="s">
        <v>156</v>
      </c>
      <c r="J26" s="2">
        <v>10000</v>
      </c>
      <c r="K26" s="2">
        <f t="shared" si="0"/>
        <v>3000</v>
      </c>
      <c r="L26" s="2">
        <f t="shared" si="1"/>
        <v>2167</v>
      </c>
      <c r="M26" s="2">
        <v>10833</v>
      </c>
      <c r="N26" s="2" t="s">
        <v>21</v>
      </c>
    </row>
    <row r="27" spans="1:14" x14ac:dyDescent="0.35">
      <c r="A27" s="3">
        <v>25</v>
      </c>
      <c r="B27" s="13">
        <v>46282</v>
      </c>
      <c r="C27" s="2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 t="s">
        <v>162</v>
      </c>
      <c r="I27" s="4" t="s">
        <v>19</v>
      </c>
      <c r="J27" s="2">
        <v>15000</v>
      </c>
      <c r="K27" s="2">
        <f t="shared" si="0"/>
        <v>4500</v>
      </c>
      <c r="L27" s="2">
        <f t="shared" si="1"/>
        <v>3250</v>
      </c>
      <c r="M27" s="2">
        <v>16250</v>
      </c>
      <c r="N27" s="2" t="s">
        <v>21</v>
      </c>
    </row>
    <row r="28" spans="1:14" x14ac:dyDescent="0.35">
      <c r="A28" s="3">
        <v>26</v>
      </c>
      <c r="B28" s="13">
        <v>46282</v>
      </c>
      <c r="C28" s="2" t="s">
        <v>163</v>
      </c>
      <c r="D28" s="4" t="s">
        <v>164</v>
      </c>
      <c r="E28" s="4" t="s">
        <v>165</v>
      </c>
      <c r="F28" s="4" t="s">
        <v>166</v>
      </c>
      <c r="G28" s="4" t="s">
        <v>167</v>
      </c>
      <c r="H28" s="4" t="s">
        <v>168</v>
      </c>
      <c r="I28" s="4" t="s">
        <v>19</v>
      </c>
      <c r="J28" s="2">
        <v>8000</v>
      </c>
      <c r="K28" s="2">
        <f t="shared" si="0"/>
        <v>2000</v>
      </c>
      <c r="L28" s="2">
        <v>1883</v>
      </c>
      <c r="M28" s="2">
        <v>7617</v>
      </c>
      <c r="N28" s="2" t="s">
        <v>21</v>
      </c>
    </row>
    <row r="29" spans="1:14" x14ac:dyDescent="0.35">
      <c r="A29" s="3">
        <v>27</v>
      </c>
      <c r="B29" s="13">
        <v>46282</v>
      </c>
      <c r="C29" s="2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  <c r="H29" s="4" t="s">
        <v>174</v>
      </c>
      <c r="I29" s="4" t="s">
        <v>156</v>
      </c>
      <c r="J29" s="2">
        <v>10000</v>
      </c>
      <c r="K29" s="2">
        <f t="shared" si="0"/>
        <v>3000</v>
      </c>
      <c r="L29" s="2">
        <f t="shared" ref="L29:L39" si="2">ROUND((J29+K29)/IF(I29="4 weeks",4,IF(I29="6 weeks",6,0)),0)</f>
        <v>2167</v>
      </c>
      <c r="M29" s="2" t="s">
        <v>20</v>
      </c>
      <c r="N29" s="2" t="s">
        <v>54</v>
      </c>
    </row>
    <row r="30" spans="1:14" x14ac:dyDescent="0.35">
      <c r="A30" s="3">
        <v>28</v>
      </c>
      <c r="B30" s="13">
        <v>46282</v>
      </c>
      <c r="C30" s="2" t="s">
        <v>175</v>
      </c>
      <c r="D30" s="4" t="s">
        <v>176</v>
      </c>
      <c r="E30" s="4" t="s">
        <v>177</v>
      </c>
      <c r="F30" s="4" t="s">
        <v>178</v>
      </c>
      <c r="G30" s="4" t="s">
        <v>179</v>
      </c>
      <c r="H30" s="4" t="s">
        <v>180</v>
      </c>
      <c r="I30" s="4" t="s">
        <v>19</v>
      </c>
      <c r="J30" s="2">
        <v>10000</v>
      </c>
      <c r="K30" s="2">
        <f t="shared" si="0"/>
        <v>3000</v>
      </c>
      <c r="L30" s="2">
        <f t="shared" si="2"/>
        <v>2167</v>
      </c>
      <c r="M30" s="2">
        <v>10833</v>
      </c>
      <c r="N30" s="2" t="s">
        <v>21</v>
      </c>
    </row>
    <row r="31" spans="1:14" x14ac:dyDescent="0.35">
      <c r="A31" s="3">
        <v>29</v>
      </c>
      <c r="B31" s="13">
        <v>46282</v>
      </c>
      <c r="C31" s="2" t="s">
        <v>181</v>
      </c>
      <c r="D31" s="4" t="s">
        <v>182</v>
      </c>
      <c r="E31" s="4" t="s">
        <v>183</v>
      </c>
      <c r="F31" s="4" t="s">
        <v>184</v>
      </c>
      <c r="G31" s="4" t="s">
        <v>185</v>
      </c>
      <c r="H31" s="4" t="s">
        <v>186</v>
      </c>
      <c r="I31" s="4" t="s">
        <v>19</v>
      </c>
      <c r="J31" s="2">
        <v>8000</v>
      </c>
      <c r="K31" s="2">
        <f t="shared" si="0"/>
        <v>2000</v>
      </c>
      <c r="L31" s="2">
        <f t="shared" si="2"/>
        <v>1667</v>
      </c>
      <c r="M31" s="2">
        <v>8333</v>
      </c>
      <c r="N31" s="2" t="s">
        <v>54</v>
      </c>
    </row>
    <row r="32" spans="1:14" x14ac:dyDescent="0.35">
      <c r="A32" s="3">
        <v>30</v>
      </c>
      <c r="B32" s="13">
        <v>46283</v>
      </c>
      <c r="C32" s="2" t="s">
        <v>187</v>
      </c>
      <c r="D32" s="4" t="s">
        <v>188</v>
      </c>
      <c r="E32" s="4" t="s">
        <v>189</v>
      </c>
      <c r="F32" s="4" t="s">
        <v>190</v>
      </c>
      <c r="G32" s="4" t="s">
        <v>191</v>
      </c>
      <c r="H32" s="4" t="s">
        <v>192</v>
      </c>
      <c r="I32" s="4" t="s">
        <v>19</v>
      </c>
      <c r="J32" s="2">
        <v>10000</v>
      </c>
      <c r="K32" s="2">
        <f t="shared" si="0"/>
        <v>3000</v>
      </c>
      <c r="L32" s="2">
        <f t="shared" si="2"/>
        <v>2167</v>
      </c>
      <c r="M32" s="2">
        <v>10833</v>
      </c>
      <c r="N32" s="2" t="s">
        <v>54</v>
      </c>
    </row>
    <row r="33" spans="1:14" x14ac:dyDescent="0.35">
      <c r="A33" s="3">
        <v>31</v>
      </c>
      <c r="B33" s="13">
        <v>46283</v>
      </c>
      <c r="C33" s="2" t="s">
        <v>193</v>
      </c>
      <c r="D33" s="4" t="s">
        <v>194</v>
      </c>
      <c r="E33" s="4" t="s">
        <v>195</v>
      </c>
      <c r="F33" s="4" t="s">
        <v>196</v>
      </c>
      <c r="G33" s="4" t="s">
        <v>197</v>
      </c>
      <c r="H33" s="4" t="s">
        <v>198</v>
      </c>
      <c r="I33" s="4" t="s">
        <v>28</v>
      </c>
      <c r="J33" s="2">
        <v>30000</v>
      </c>
      <c r="K33" s="2">
        <f t="shared" si="0"/>
        <v>6000</v>
      </c>
      <c r="L33" s="2">
        <f t="shared" si="2"/>
        <v>9000</v>
      </c>
      <c r="M33" s="2">
        <v>27000</v>
      </c>
      <c r="N33" s="2" t="s">
        <v>21</v>
      </c>
    </row>
    <row r="34" spans="1:14" x14ac:dyDescent="0.35">
      <c r="A34" s="3">
        <v>32</v>
      </c>
      <c r="B34" s="13">
        <v>46283</v>
      </c>
      <c r="C34" s="2" t="s">
        <v>199</v>
      </c>
      <c r="D34" s="4" t="s">
        <v>200</v>
      </c>
      <c r="E34" s="4" t="s">
        <v>201</v>
      </c>
      <c r="F34" s="4" t="s">
        <v>202</v>
      </c>
      <c r="G34" s="4" t="s">
        <v>203</v>
      </c>
      <c r="H34" s="4" t="s">
        <v>204</v>
      </c>
      <c r="I34" s="4" t="s">
        <v>19</v>
      </c>
      <c r="J34" s="2">
        <v>15000</v>
      </c>
      <c r="K34" s="2">
        <f t="shared" si="0"/>
        <v>4500</v>
      </c>
      <c r="L34" s="2">
        <f t="shared" si="2"/>
        <v>3250</v>
      </c>
      <c r="M34" s="2">
        <v>16250</v>
      </c>
      <c r="N34" s="2" t="s">
        <v>21</v>
      </c>
    </row>
    <row r="35" spans="1:14" x14ac:dyDescent="0.35">
      <c r="A35" s="3">
        <v>33</v>
      </c>
      <c r="B35" s="13">
        <v>46283</v>
      </c>
      <c r="C35" s="2" t="s">
        <v>205</v>
      </c>
      <c r="D35" s="4" t="s">
        <v>206</v>
      </c>
      <c r="E35" s="4" t="s">
        <v>207</v>
      </c>
      <c r="F35" s="4" t="s">
        <v>208</v>
      </c>
      <c r="G35" s="4" t="s">
        <v>209</v>
      </c>
      <c r="H35" s="4" t="s">
        <v>210</v>
      </c>
      <c r="I35" s="4" t="s">
        <v>19</v>
      </c>
      <c r="J35" s="2">
        <v>15000</v>
      </c>
      <c r="K35" s="2">
        <f t="shared" si="0"/>
        <v>4500</v>
      </c>
      <c r="L35" s="2">
        <f t="shared" si="2"/>
        <v>3250</v>
      </c>
      <c r="M35" s="2">
        <v>16250</v>
      </c>
      <c r="N35" s="2" t="s">
        <v>54</v>
      </c>
    </row>
    <row r="36" spans="1:14" x14ac:dyDescent="0.35">
      <c r="A36" s="3">
        <v>34</v>
      </c>
      <c r="B36" s="13">
        <v>46287</v>
      </c>
      <c r="C36" s="2" t="s">
        <v>211</v>
      </c>
      <c r="D36" s="4" t="s">
        <v>212</v>
      </c>
      <c r="E36" s="4" t="s">
        <v>213</v>
      </c>
      <c r="F36" s="4" t="s">
        <v>214</v>
      </c>
      <c r="G36" s="4" t="s">
        <v>215</v>
      </c>
      <c r="H36" s="4" t="s">
        <v>216</v>
      </c>
      <c r="I36" s="4" t="s">
        <v>156</v>
      </c>
      <c r="J36" s="2">
        <v>15000</v>
      </c>
      <c r="K36" s="2">
        <f t="shared" si="0"/>
        <v>4500</v>
      </c>
      <c r="L36" s="2">
        <f t="shared" si="2"/>
        <v>3250</v>
      </c>
      <c r="M36" s="2">
        <v>16250</v>
      </c>
      <c r="N36" s="2" t="s">
        <v>21</v>
      </c>
    </row>
    <row r="37" spans="1:14" x14ac:dyDescent="0.35">
      <c r="A37" s="3">
        <v>35</v>
      </c>
      <c r="B37" s="13">
        <v>46287</v>
      </c>
      <c r="C37" s="2" t="s">
        <v>217</v>
      </c>
      <c r="D37" s="4" t="s">
        <v>218</v>
      </c>
      <c r="E37" s="4" t="s">
        <v>219</v>
      </c>
      <c r="F37" s="4" t="s">
        <v>220</v>
      </c>
      <c r="G37" s="4" t="s">
        <v>221</v>
      </c>
      <c r="H37" s="4" t="s">
        <v>222</v>
      </c>
      <c r="I37" s="4" t="s">
        <v>156</v>
      </c>
      <c r="J37" s="2">
        <v>10000</v>
      </c>
      <c r="K37" s="2">
        <f t="shared" si="0"/>
        <v>3000</v>
      </c>
      <c r="L37" s="2">
        <f t="shared" si="2"/>
        <v>2167</v>
      </c>
      <c r="M37" s="2">
        <v>10833</v>
      </c>
      <c r="N37" s="2" t="s">
        <v>21</v>
      </c>
    </row>
    <row r="38" spans="1:14" x14ac:dyDescent="0.35">
      <c r="A38" s="3">
        <v>36</v>
      </c>
      <c r="B38" s="13">
        <v>46287</v>
      </c>
      <c r="C38" s="2" t="s">
        <v>223</v>
      </c>
      <c r="D38" s="4" t="s">
        <v>224</v>
      </c>
      <c r="E38" s="4" t="s">
        <v>225</v>
      </c>
      <c r="F38" s="4" t="s">
        <v>226</v>
      </c>
      <c r="G38" s="4" t="s">
        <v>227</v>
      </c>
      <c r="H38" s="4" t="s">
        <v>228</v>
      </c>
      <c r="I38" s="4" t="s">
        <v>19</v>
      </c>
      <c r="J38" s="2">
        <v>20000</v>
      </c>
      <c r="K38" s="2">
        <f t="shared" si="0"/>
        <v>6000</v>
      </c>
      <c r="L38" s="2">
        <f t="shared" si="2"/>
        <v>4333</v>
      </c>
      <c r="M38" s="2">
        <v>23833</v>
      </c>
      <c r="N38" s="2" t="s">
        <v>21</v>
      </c>
    </row>
    <row r="39" spans="1:14" x14ac:dyDescent="0.35">
      <c r="A39" s="3">
        <v>37</v>
      </c>
      <c r="B39" s="13">
        <v>46287</v>
      </c>
      <c r="C39" s="2" t="s">
        <v>229</v>
      </c>
      <c r="D39" s="4" t="s">
        <v>230</v>
      </c>
      <c r="E39" s="4" t="s">
        <v>231</v>
      </c>
      <c r="F39" s="4" t="s">
        <v>232</v>
      </c>
      <c r="G39" s="4" t="s">
        <v>233</v>
      </c>
      <c r="H39" s="4" t="s">
        <v>234</v>
      </c>
      <c r="I39" s="4" t="s">
        <v>156</v>
      </c>
      <c r="J39" s="2">
        <v>10000</v>
      </c>
      <c r="K39" s="2">
        <f t="shared" si="0"/>
        <v>3000</v>
      </c>
      <c r="L39" s="2">
        <f t="shared" si="2"/>
        <v>2167</v>
      </c>
      <c r="M39" s="2">
        <v>10833</v>
      </c>
      <c r="N39" s="2" t="s">
        <v>54</v>
      </c>
    </row>
    <row r="40" spans="1:14" x14ac:dyDescent="0.35">
      <c r="A40" s="3">
        <v>38</v>
      </c>
      <c r="B40" s="13">
        <v>46287</v>
      </c>
      <c r="C40" s="2" t="s">
        <v>235</v>
      </c>
      <c r="D40" s="4" t="s">
        <v>236</v>
      </c>
      <c r="E40" s="4" t="s">
        <v>237</v>
      </c>
      <c r="F40" s="4" t="s">
        <v>238</v>
      </c>
      <c r="G40" s="4" t="s">
        <v>239</v>
      </c>
      <c r="H40" s="4" t="s">
        <v>240</v>
      </c>
      <c r="I40" s="4" t="s">
        <v>156</v>
      </c>
      <c r="J40" s="2">
        <v>10000</v>
      </c>
      <c r="K40" s="2">
        <v>3000</v>
      </c>
      <c r="L40" s="2">
        <v>2167</v>
      </c>
      <c r="M40" s="2">
        <v>10833</v>
      </c>
      <c r="N40" s="2" t="s">
        <v>21</v>
      </c>
    </row>
    <row r="41" spans="1:14" x14ac:dyDescent="0.35">
      <c r="A41" s="3">
        <v>39</v>
      </c>
      <c r="B41" s="13">
        <v>46287</v>
      </c>
      <c r="C41" s="2" t="s">
        <v>241</v>
      </c>
      <c r="D41" s="4" t="s">
        <v>242</v>
      </c>
      <c r="E41" s="4" t="s">
        <v>243</v>
      </c>
      <c r="F41" s="4" t="s">
        <v>244</v>
      </c>
      <c r="G41" s="4" t="s">
        <v>245</v>
      </c>
      <c r="H41" s="4" t="s">
        <v>246</v>
      </c>
      <c r="I41" s="4" t="s">
        <v>19</v>
      </c>
      <c r="J41" s="2">
        <v>10000</v>
      </c>
      <c r="K41" s="2">
        <f t="shared" ref="K41:K49" si="3">IF(J41&lt;10000,2000,IF(I41="6 weeks",J41*30%,IF(I41="4 weeks",J41*20%,0)))</f>
        <v>3000</v>
      </c>
      <c r="L41" s="2">
        <f t="shared" ref="L41:L49" si="4">ROUND((J41+K41)/IF(I41="4 weeks",4,IF(I41="6 weeks",6,0)),0)</f>
        <v>2167</v>
      </c>
      <c r="M41" s="2">
        <v>11066</v>
      </c>
      <c r="N41" s="2" t="s">
        <v>54</v>
      </c>
    </row>
    <row r="42" spans="1:14" x14ac:dyDescent="0.35">
      <c r="A42" s="3">
        <v>40</v>
      </c>
      <c r="B42" s="13">
        <v>46287</v>
      </c>
      <c r="C42" s="2" t="s">
        <v>247</v>
      </c>
      <c r="D42" s="4" t="s">
        <v>248</v>
      </c>
      <c r="E42" s="4" t="s">
        <v>249</v>
      </c>
      <c r="F42" s="4" t="s">
        <v>250</v>
      </c>
      <c r="G42" s="4" t="s">
        <v>251</v>
      </c>
      <c r="H42" s="4" t="s">
        <v>252</v>
      </c>
      <c r="I42" s="4" t="s">
        <v>19</v>
      </c>
      <c r="J42" s="2">
        <v>20000</v>
      </c>
      <c r="K42" s="2">
        <f t="shared" si="3"/>
        <v>6000</v>
      </c>
      <c r="L42" s="2">
        <f t="shared" si="4"/>
        <v>4333</v>
      </c>
      <c r="M42" s="2">
        <v>21666</v>
      </c>
      <c r="N42" s="2" t="s">
        <v>54</v>
      </c>
    </row>
    <row r="43" spans="1:14" x14ac:dyDescent="0.35">
      <c r="A43" s="3">
        <v>41</v>
      </c>
      <c r="B43" s="13">
        <v>46288</v>
      </c>
      <c r="C43" s="2" t="s">
        <v>253</v>
      </c>
      <c r="D43" s="4" t="s">
        <v>254</v>
      </c>
      <c r="E43" s="4" t="s">
        <v>255</v>
      </c>
      <c r="F43" s="4" t="s">
        <v>256</v>
      </c>
      <c r="G43" s="4" t="s">
        <v>257</v>
      </c>
      <c r="H43" s="4" t="s">
        <v>258</v>
      </c>
      <c r="I43" s="4" t="s">
        <v>19</v>
      </c>
      <c r="J43" s="2">
        <v>15000</v>
      </c>
      <c r="K43" s="2">
        <f t="shared" si="3"/>
        <v>4500</v>
      </c>
      <c r="L43" s="2">
        <f t="shared" si="4"/>
        <v>3250</v>
      </c>
      <c r="M43" s="2">
        <v>16250</v>
      </c>
      <c r="N43" s="2" t="s">
        <v>54</v>
      </c>
    </row>
    <row r="44" spans="1:14" x14ac:dyDescent="0.35">
      <c r="A44" s="3">
        <v>42</v>
      </c>
      <c r="B44" s="13">
        <v>46288</v>
      </c>
      <c r="C44" s="2" t="s">
        <v>259</v>
      </c>
      <c r="D44" s="4" t="s">
        <v>260</v>
      </c>
      <c r="E44" s="4" t="s">
        <v>261</v>
      </c>
      <c r="F44" s="4" t="s">
        <v>262</v>
      </c>
      <c r="G44" s="4" t="s">
        <v>263</v>
      </c>
      <c r="H44" s="4" t="s">
        <v>264</v>
      </c>
      <c r="I44" s="4" t="s">
        <v>156</v>
      </c>
      <c r="J44" s="2">
        <v>10000</v>
      </c>
      <c r="K44" s="2">
        <f t="shared" si="3"/>
        <v>3000</v>
      </c>
      <c r="L44" s="2">
        <f t="shared" si="4"/>
        <v>2167</v>
      </c>
      <c r="M44" s="2">
        <v>12000</v>
      </c>
      <c r="N44" s="2" t="s">
        <v>54</v>
      </c>
    </row>
    <row r="45" spans="1:14" x14ac:dyDescent="0.35">
      <c r="A45" s="3">
        <v>43</v>
      </c>
      <c r="B45" s="13">
        <v>46290</v>
      </c>
      <c r="C45" s="2" t="s">
        <v>265</v>
      </c>
      <c r="D45" s="4" t="s">
        <v>266</v>
      </c>
      <c r="E45" s="4" t="s">
        <v>267</v>
      </c>
      <c r="F45" s="4" t="s">
        <v>268</v>
      </c>
      <c r="G45" s="4" t="s">
        <v>269</v>
      </c>
      <c r="H45" s="4" t="s">
        <v>270</v>
      </c>
      <c r="I45" s="4" t="s">
        <v>156</v>
      </c>
      <c r="J45" s="2">
        <v>10000</v>
      </c>
      <c r="K45" s="2">
        <f t="shared" si="3"/>
        <v>3000</v>
      </c>
      <c r="L45" s="2">
        <f t="shared" si="4"/>
        <v>2167</v>
      </c>
      <c r="M45" s="2">
        <v>13000</v>
      </c>
      <c r="N45" s="2" t="s">
        <v>54</v>
      </c>
    </row>
    <row r="46" spans="1:14" x14ac:dyDescent="0.35">
      <c r="A46" s="3">
        <v>44</v>
      </c>
      <c r="B46" s="13">
        <v>46290</v>
      </c>
      <c r="C46" s="2" t="s">
        <v>271</v>
      </c>
      <c r="D46" s="4" t="s">
        <v>272</v>
      </c>
      <c r="E46" s="4" t="s">
        <v>273</v>
      </c>
      <c r="F46" s="4" t="s">
        <v>274</v>
      </c>
      <c r="G46" s="4" t="s">
        <v>275</v>
      </c>
      <c r="H46" s="4" t="s">
        <v>276</v>
      </c>
      <c r="I46" s="4" t="s">
        <v>156</v>
      </c>
      <c r="J46" s="2">
        <v>10000</v>
      </c>
      <c r="K46" s="2">
        <f t="shared" si="3"/>
        <v>3000</v>
      </c>
      <c r="L46" s="2">
        <f t="shared" si="4"/>
        <v>2167</v>
      </c>
      <c r="M46" s="2">
        <v>13000</v>
      </c>
      <c r="N46" s="2" t="s">
        <v>54</v>
      </c>
    </row>
    <row r="47" spans="1:14" x14ac:dyDescent="0.35">
      <c r="A47" s="3">
        <v>45</v>
      </c>
      <c r="B47" s="13">
        <v>46290</v>
      </c>
      <c r="C47" s="2" t="s">
        <v>277</v>
      </c>
      <c r="D47" s="4" t="s">
        <v>278</v>
      </c>
      <c r="E47" s="4" t="s">
        <v>279</v>
      </c>
      <c r="F47" s="4" t="s">
        <v>280</v>
      </c>
      <c r="G47" s="4" t="s">
        <v>281</v>
      </c>
      <c r="H47" s="4" t="s">
        <v>282</v>
      </c>
      <c r="I47" s="4" t="s">
        <v>35</v>
      </c>
      <c r="J47" s="2">
        <v>20000</v>
      </c>
      <c r="K47" s="2">
        <f t="shared" si="3"/>
        <v>4000</v>
      </c>
      <c r="L47" s="2">
        <f t="shared" si="4"/>
        <v>6000</v>
      </c>
      <c r="M47" s="2">
        <v>18000</v>
      </c>
      <c r="N47" s="2" t="s">
        <v>21</v>
      </c>
    </row>
    <row r="48" spans="1:14" x14ac:dyDescent="0.35">
      <c r="A48" s="3">
        <v>46</v>
      </c>
      <c r="B48" s="13">
        <v>46293</v>
      </c>
      <c r="C48" s="2" t="s">
        <v>283</v>
      </c>
      <c r="D48" s="4" t="s">
        <v>284</v>
      </c>
      <c r="E48" s="4" t="s">
        <v>285</v>
      </c>
      <c r="F48" s="4" t="s">
        <v>286</v>
      </c>
      <c r="G48" s="4" t="s">
        <v>287</v>
      </c>
      <c r="H48" s="4" t="s">
        <v>288</v>
      </c>
      <c r="I48" s="4" t="s">
        <v>19</v>
      </c>
      <c r="J48" s="2">
        <v>10000</v>
      </c>
      <c r="K48" s="2">
        <f t="shared" si="3"/>
        <v>3000</v>
      </c>
      <c r="L48" s="2">
        <f t="shared" si="4"/>
        <v>2167</v>
      </c>
      <c r="M48" s="2">
        <v>13000</v>
      </c>
      <c r="N48" s="2" t="s">
        <v>54</v>
      </c>
    </row>
    <row r="49" spans="1:14" x14ac:dyDescent="0.35">
      <c r="A49" s="3">
        <v>47</v>
      </c>
      <c r="B49" s="13">
        <v>46293</v>
      </c>
      <c r="C49" s="2" t="s">
        <v>289</v>
      </c>
      <c r="D49" s="4" t="s">
        <v>290</v>
      </c>
      <c r="E49" s="4" t="s">
        <v>291</v>
      </c>
      <c r="F49" s="4" t="s">
        <v>292</v>
      </c>
      <c r="G49" s="4" t="s">
        <v>293</v>
      </c>
      <c r="H49" s="4" t="s">
        <v>294</v>
      </c>
      <c r="I49" s="4" t="s">
        <v>19</v>
      </c>
      <c r="J49" s="2">
        <v>10000</v>
      </c>
      <c r="K49" s="2">
        <f t="shared" si="3"/>
        <v>3000</v>
      </c>
      <c r="L49" s="2">
        <f t="shared" si="4"/>
        <v>2167</v>
      </c>
      <c r="M49" s="2">
        <v>13000</v>
      </c>
      <c r="N49" s="2" t="s">
        <v>54</v>
      </c>
    </row>
    <row r="50" spans="1:14" ht="15.5" x14ac:dyDescent="0.35">
      <c r="A50" s="3">
        <v>48</v>
      </c>
      <c r="B50" s="13">
        <v>46293</v>
      </c>
      <c r="C50" s="6" t="s">
        <v>295</v>
      </c>
      <c r="D50" s="4" t="s">
        <v>37</v>
      </c>
      <c r="E50" s="4" t="s">
        <v>38</v>
      </c>
      <c r="F50" s="4" t="s">
        <v>39</v>
      </c>
      <c r="G50" s="4" t="s">
        <v>40</v>
      </c>
      <c r="H50" s="4" t="s">
        <v>41</v>
      </c>
      <c r="I50" s="2" t="s">
        <v>28</v>
      </c>
      <c r="J50" s="2">
        <v>20000</v>
      </c>
      <c r="K50" s="2">
        <v>4000</v>
      </c>
      <c r="L50" s="2">
        <v>4334</v>
      </c>
      <c r="M50" s="2">
        <v>24000</v>
      </c>
      <c r="N50" s="2" t="s">
        <v>21</v>
      </c>
    </row>
    <row r="51" spans="1:14" x14ac:dyDescent="0.35">
      <c r="A51" s="3">
        <v>49</v>
      </c>
      <c r="B51" s="13">
        <v>46293</v>
      </c>
      <c r="C51" s="2" t="s">
        <v>86</v>
      </c>
      <c r="D51" s="4" t="s">
        <v>87</v>
      </c>
      <c r="E51" s="4" t="s">
        <v>88</v>
      </c>
      <c r="F51" s="4" t="s">
        <v>296</v>
      </c>
      <c r="G51" s="4" t="s">
        <v>297</v>
      </c>
      <c r="H51" s="4" t="s">
        <v>298</v>
      </c>
      <c r="I51" s="4" t="s">
        <v>28</v>
      </c>
      <c r="J51" s="2">
        <v>10000</v>
      </c>
      <c r="K51" s="2">
        <f>IF(J51&lt;10000,2000,IF(I51="6 weeks",J51*30%,IF(I51="4 weeks",J51*20%,0)))</f>
        <v>2000</v>
      </c>
      <c r="L51" s="2">
        <f>ROUND((J51+K51)/IF(I51="4 weeks",4,IF(I51="6 weeks",6,0)),0)</f>
        <v>3000</v>
      </c>
      <c r="M51" s="2">
        <v>12000</v>
      </c>
      <c r="N51" s="2" t="s">
        <v>21</v>
      </c>
    </row>
    <row r="52" spans="1:14" ht="16" x14ac:dyDescent="0.4">
      <c r="A52" s="3">
        <v>50</v>
      </c>
      <c r="B52" s="13">
        <v>46276</v>
      </c>
      <c r="C52" s="22" t="s">
        <v>299</v>
      </c>
      <c r="D52" s="4" t="s">
        <v>85</v>
      </c>
      <c r="E52" s="4" t="s">
        <v>27</v>
      </c>
      <c r="F52" s="4" t="s">
        <v>86</v>
      </c>
      <c r="G52" s="4" t="s">
        <v>87</v>
      </c>
      <c r="H52" s="4" t="s">
        <v>88</v>
      </c>
      <c r="I52" s="2" t="s">
        <v>28</v>
      </c>
      <c r="J52" s="2">
        <v>10000</v>
      </c>
      <c r="K52" s="2">
        <f>IF(J52&lt;10000,2000,IF(I52="6 weeks",J52*30%,IF(I52="4 weeks",J52*20%,0)))</f>
        <v>2000</v>
      </c>
      <c r="L52" s="2">
        <f>ROUND((J52+K52)/IF(I52="4 weeks",4,IF(I52="6 weeks",6,0)),0)</f>
        <v>3000</v>
      </c>
      <c r="M52" s="2">
        <v>12000</v>
      </c>
      <c r="N52" s="2" t="s">
        <v>21</v>
      </c>
    </row>
    <row r="53" spans="1:14" ht="16" x14ac:dyDescent="0.4">
      <c r="A53" s="3">
        <v>51</v>
      </c>
      <c r="B53" s="13">
        <v>46293</v>
      </c>
      <c r="C53" s="2" t="s">
        <v>300</v>
      </c>
      <c r="D53" s="4" t="s">
        <v>14</v>
      </c>
      <c r="E53" s="4" t="s">
        <v>15</v>
      </c>
      <c r="F53" s="4" t="s">
        <v>16</v>
      </c>
      <c r="G53" s="4" t="s">
        <v>17</v>
      </c>
      <c r="H53" s="4" t="s">
        <v>18</v>
      </c>
      <c r="I53" s="2" t="s">
        <v>19</v>
      </c>
      <c r="J53" s="2">
        <v>10000</v>
      </c>
      <c r="K53" s="2">
        <f>IF(J53&lt;10000,2000,IF(I53="6 weeks",J53*30%,IF(I53="4 weeks",J53*20%,0)))</f>
        <v>3000</v>
      </c>
      <c r="L53" s="2">
        <f>ROUND((J53+K53)/IF(I53="4 weeks",4,IF(I53="6 weeks",6,0)),0)</f>
        <v>2167</v>
      </c>
      <c r="M53" s="2">
        <v>13000</v>
      </c>
      <c r="N53" s="2" t="s">
        <v>21</v>
      </c>
    </row>
    <row r="54" spans="1:14" ht="16" x14ac:dyDescent="0.4">
      <c r="A54" s="3">
        <v>52</v>
      </c>
      <c r="B54" s="13">
        <v>46294</v>
      </c>
      <c r="C54" s="2" t="s">
        <v>301</v>
      </c>
      <c r="D54" s="4" t="s">
        <v>43</v>
      </c>
      <c r="E54" s="4" t="s">
        <v>44</v>
      </c>
      <c r="F54" s="4" t="s">
        <v>45</v>
      </c>
      <c r="G54" s="4" t="s">
        <v>46</v>
      </c>
      <c r="H54" s="4" t="s">
        <v>47</v>
      </c>
      <c r="I54" s="2" t="s">
        <v>28</v>
      </c>
      <c r="J54" s="2">
        <v>20000</v>
      </c>
      <c r="K54" s="2">
        <f>IF(J54&lt;10000,2000,IF(I54="6 weeks",J54*30%,IF(I54="4 weeks",J54*20%,0)))</f>
        <v>4000</v>
      </c>
      <c r="L54" s="2">
        <f>ROUND((J54+K54)/IF(I54="4 weeks",4,IF(I54="6 weeks",6,0)),0)</f>
        <v>6000</v>
      </c>
      <c r="M54" s="2">
        <v>24000</v>
      </c>
      <c r="N54" s="2" t="s">
        <v>21</v>
      </c>
    </row>
    <row r="55" spans="1:14" x14ac:dyDescent="0.35">
      <c r="A55" s="3">
        <v>53</v>
      </c>
      <c r="B55" s="13">
        <v>46294</v>
      </c>
      <c r="C55" s="2" t="s">
        <v>302</v>
      </c>
      <c r="D55" s="4" t="s">
        <v>303</v>
      </c>
      <c r="E55" s="4" t="s">
        <v>304</v>
      </c>
      <c r="F55" s="4" t="s">
        <v>305</v>
      </c>
      <c r="G55" s="4" t="s">
        <v>306</v>
      </c>
      <c r="H55" s="4" t="s">
        <v>307</v>
      </c>
      <c r="I55" s="2" t="s">
        <v>19</v>
      </c>
      <c r="J55" s="2">
        <v>12000</v>
      </c>
      <c r="K55" s="2">
        <f>IF(J55&lt;10000,2000,IF(I55="6 weeks",J55*30%,IF(I55="4 weeks",J55*20%,0)))</f>
        <v>3600</v>
      </c>
      <c r="L55" s="2">
        <f>ROUND((J55+K55)/IF(I55="4 weeks",4,IF(I55="6 weeks",6,0)),0)</f>
        <v>2600</v>
      </c>
      <c r="M55" s="2">
        <v>19600</v>
      </c>
      <c r="N55" s="2" t="s">
        <v>54</v>
      </c>
    </row>
    <row r="56" spans="1:14" x14ac:dyDescent="0.35">
      <c r="A56" s="3">
        <v>54</v>
      </c>
      <c r="B56" s="13">
        <v>46294</v>
      </c>
      <c r="C56" s="2" t="s">
        <v>308</v>
      </c>
      <c r="D56" s="4" t="s">
        <v>309</v>
      </c>
      <c r="E56" s="4" t="s">
        <v>310</v>
      </c>
      <c r="F56" s="4" t="s">
        <v>311</v>
      </c>
      <c r="G56" s="4" t="s">
        <v>312</v>
      </c>
      <c r="H56" s="4" t="s">
        <v>313</v>
      </c>
      <c r="I56" s="2" t="s">
        <v>35</v>
      </c>
      <c r="J56" s="2">
        <v>10000</v>
      </c>
      <c r="K56" s="2">
        <v>3000</v>
      </c>
      <c r="L56" s="2">
        <v>2167</v>
      </c>
      <c r="M56" s="2">
        <v>13000</v>
      </c>
      <c r="N56" s="2" t="s">
        <v>54</v>
      </c>
    </row>
    <row r="57" spans="1:14" ht="18.5" x14ac:dyDescent="0.45">
      <c r="A57" s="3">
        <v>55</v>
      </c>
      <c r="B57" s="17">
        <v>46297</v>
      </c>
      <c r="C57" s="18" t="s">
        <v>314</v>
      </c>
      <c r="D57" s="19" t="s">
        <v>315</v>
      </c>
      <c r="E57" s="19" t="s">
        <v>316</v>
      </c>
      <c r="F57" s="19" t="s">
        <v>317</v>
      </c>
      <c r="G57" s="19" t="s">
        <v>318</v>
      </c>
      <c r="H57" s="19" t="s">
        <v>319</v>
      </c>
      <c r="I57" s="20" t="s">
        <v>19</v>
      </c>
      <c r="J57" s="21">
        <v>7000</v>
      </c>
      <c r="K57" s="2">
        <v>2000</v>
      </c>
      <c r="L57" s="2">
        <v>1500</v>
      </c>
      <c r="M57" s="2">
        <v>9000</v>
      </c>
      <c r="N57" s="2" t="s">
        <v>54</v>
      </c>
    </row>
    <row r="58" spans="1:14" ht="18.5" x14ac:dyDescent="0.45">
      <c r="A58" s="3">
        <v>56</v>
      </c>
      <c r="B58" s="17">
        <v>46297</v>
      </c>
      <c r="C58" s="18" t="s">
        <v>320</v>
      </c>
      <c r="D58" s="19" t="s">
        <v>321</v>
      </c>
      <c r="E58" s="19" t="s">
        <v>322</v>
      </c>
      <c r="F58" s="19" t="s">
        <v>323</v>
      </c>
      <c r="G58" s="19" t="s">
        <v>324</v>
      </c>
      <c r="H58" s="19" t="s">
        <v>325</v>
      </c>
      <c r="I58" s="20" t="s">
        <v>19</v>
      </c>
      <c r="J58" s="21">
        <v>8000</v>
      </c>
      <c r="K58" s="2">
        <v>2000</v>
      </c>
      <c r="L58" s="2">
        <v>1667</v>
      </c>
      <c r="M58" s="2">
        <v>10000</v>
      </c>
      <c r="N58" s="2" t="s">
        <v>54</v>
      </c>
    </row>
    <row r="59" spans="1:14" ht="18.5" x14ac:dyDescent="0.45">
      <c r="A59" s="3">
        <v>57</v>
      </c>
      <c r="B59" s="17">
        <v>46297</v>
      </c>
      <c r="C59" s="18" t="s">
        <v>326</v>
      </c>
      <c r="D59" s="19" t="s">
        <v>327</v>
      </c>
      <c r="E59" s="19" t="s">
        <v>328</v>
      </c>
      <c r="F59" s="19" t="s">
        <v>329</v>
      </c>
      <c r="G59" s="19" t="s">
        <v>330</v>
      </c>
      <c r="H59" s="19" t="s">
        <v>331</v>
      </c>
      <c r="I59" s="20" t="s">
        <v>19</v>
      </c>
      <c r="J59" s="21">
        <v>8000</v>
      </c>
      <c r="K59" s="2">
        <v>2000</v>
      </c>
      <c r="L59" s="2">
        <v>1667</v>
      </c>
      <c r="M59" s="2">
        <v>10000</v>
      </c>
      <c r="N59" s="2" t="s">
        <v>21</v>
      </c>
    </row>
    <row r="60" spans="1:14" ht="26" x14ac:dyDescent="0.6">
      <c r="A60" s="3"/>
      <c r="B60" s="13"/>
      <c r="C60" s="7"/>
      <c r="D60" s="2"/>
      <c r="E60" s="2"/>
      <c r="F60" s="2"/>
      <c r="G60" s="2"/>
      <c r="H60" s="2"/>
      <c r="I60" s="2"/>
      <c r="J60" s="8">
        <f>SUM(J3:J56)</f>
        <v>711000</v>
      </c>
      <c r="K60" s="4"/>
      <c r="L60" s="9"/>
      <c r="M60" s="2"/>
      <c r="N60" s="2"/>
    </row>
    <row r="62" spans="1:14" ht="22.5" customHeight="1" x14ac:dyDescent="0.4">
      <c r="B62" s="16"/>
      <c r="C62" s="16"/>
      <c r="D62" s="16"/>
      <c r="E62" s="16"/>
      <c r="G62" s="16"/>
      <c r="H62" s="16"/>
      <c r="I62" s="16"/>
      <c r="J62" s="16"/>
    </row>
    <row r="63" spans="1:14" ht="18.75" customHeight="1" x14ac:dyDescent="0.35"/>
    <row r="64" spans="1:14" ht="24" customHeight="1" x14ac:dyDescent="0.35"/>
    <row r="65" spans="9:10" x14ac:dyDescent="0.35">
      <c r="I65" s="14"/>
      <c r="J6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2026-10-01T05:32:34Z</dcterms:created>
  <dcterms:modified xsi:type="dcterms:W3CDTF">2026-10-05T16:40:21Z</dcterms:modified>
  <cp:category/>
  <cp:contentStatus/>
</cp:coreProperties>
</file>