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SBURSEMENT\"/>
    </mc:Choice>
  </mc:AlternateContent>
  <bookViews>
    <workbookView xWindow="0" yWindow="0" windowWidth="11490" windowHeight="4635" firstSheet="5" activeTab="5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Sheet8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3" i="4" l="1"/>
  <c r="H173" i="4"/>
  <c r="I173" i="4"/>
  <c r="J173" i="4"/>
  <c r="K173" i="4"/>
  <c r="L173" i="4"/>
  <c r="M173" i="4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E80" i="4" l="1"/>
  <c r="D80" i="4"/>
  <c r="D10" i="4" l="1"/>
  <c r="E10" i="4"/>
  <c r="E166" i="4" l="1"/>
  <c r="D166" i="4"/>
  <c r="E163" i="4" l="1"/>
  <c r="D163" i="4"/>
  <c r="E151" i="4" l="1"/>
  <c r="D151" i="4"/>
  <c r="E150" i="4" l="1"/>
  <c r="D150" i="4"/>
  <c r="E149" i="4"/>
  <c r="D149" i="4"/>
  <c r="E148" i="4"/>
  <c r="D148" i="4"/>
  <c r="E147" i="4" l="1"/>
  <c r="D147" i="4"/>
  <c r="E146" i="4"/>
  <c r="D146" i="4"/>
  <c r="E145" i="4" l="1"/>
  <c r="D145" i="4"/>
  <c r="E144" i="4" l="1"/>
  <c r="D144" i="4"/>
  <c r="E139" i="4" l="1"/>
  <c r="E143" i="4"/>
  <c r="D143" i="4"/>
  <c r="E142" i="4" l="1"/>
  <c r="D142" i="4"/>
  <c r="E140" i="4" l="1"/>
  <c r="D140" i="4"/>
  <c r="E141" i="4"/>
  <c r="D141" i="4"/>
  <c r="D139" i="4" l="1"/>
  <c r="E138" i="4" l="1"/>
  <c r="D138" i="4"/>
  <c r="E132" i="4" l="1"/>
  <c r="E137" i="4" l="1"/>
  <c r="D137" i="4"/>
  <c r="E136" i="4" l="1"/>
  <c r="D136" i="4"/>
  <c r="E135" i="4" l="1"/>
  <c r="D135" i="4"/>
  <c r="E134" i="4" l="1"/>
  <c r="D134" i="4"/>
  <c r="E133" i="4" l="1"/>
  <c r="D133" i="4"/>
  <c r="D132" i="4" l="1"/>
  <c r="E130" i="4" l="1"/>
  <c r="E131" i="4"/>
  <c r="D131" i="4"/>
  <c r="D130" i="4" l="1"/>
  <c r="E129" i="4" l="1"/>
  <c r="D129" i="4"/>
  <c r="E126" i="4" l="1"/>
  <c r="D126" i="4"/>
  <c r="D125" i="4"/>
  <c r="E128" i="4" l="1"/>
  <c r="D128" i="4"/>
  <c r="E127" i="4" l="1"/>
  <c r="D127" i="4"/>
  <c r="E108" i="4" l="1"/>
  <c r="D108" i="4"/>
  <c r="E125" i="4" l="1"/>
  <c r="E124" i="4" l="1"/>
  <c r="D124" i="4"/>
  <c r="E123" i="4" l="1"/>
  <c r="D123" i="4"/>
  <c r="E121" i="4" l="1"/>
  <c r="D121" i="4"/>
  <c r="E122" i="4"/>
  <c r="D122" i="4"/>
  <c r="E120" i="4" l="1"/>
  <c r="D120" i="4"/>
  <c r="E99" i="4" l="1"/>
  <c r="D99" i="4"/>
  <c r="D100" i="4"/>
  <c r="E100" i="4"/>
  <c r="E101" i="4"/>
  <c r="D101" i="4"/>
  <c r="E119" i="4" l="1"/>
  <c r="D119" i="4"/>
  <c r="E118" i="4"/>
  <c r="E117" i="4"/>
  <c r="D118" i="4"/>
  <c r="D117" i="4"/>
  <c r="E116" i="4" l="1"/>
  <c r="D116" i="4"/>
  <c r="E115" i="4"/>
  <c r="D115" i="4"/>
  <c r="E114" i="4"/>
  <c r="D114" i="4"/>
  <c r="E113" i="4" l="1"/>
  <c r="D113" i="4"/>
  <c r="E112" i="4" l="1"/>
  <c r="D112" i="4"/>
  <c r="E111" i="4"/>
  <c r="D111" i="4"/>
  <c r="E110" i="4"/>
  <c r="D110" i="4"/>
  <c r="E109" i="4" l="1"/>
  <c r="D109" i="4"/>
  <c r="E107" i="4" l="1"/>
  <c r="D107" i="4"/>
  <c r="E106" i="4"/>
  <c r="D106" i="4"/>
  <c r="E105" i="4" l="1"/>
  <c r="D105" i="4"/>
  <c r="E104" i="4"/>
  <c r="D104" i="4"/>
  <c r="E103" i="4"/>
  <c r="D103" i="4"/>
  <c r="E102" i="4" l="1"/>
  <c r="D102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M3" i="4" l="1"/>
  <c r="F132" i="2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O2" i="4"/>
</calcChain>
</file>

<file path=xl/sharedStrings.xml><?xml version="1.0" encoding="utf-8"?>
<sst xmlns="http://schemas.openxmlformats.org/spreadsheetml/2006/main" count="2038" uniqueCount="654">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</sst>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2" x14ac:knownFonts="1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3" fontId="10" fillId="0" borderId="1" xfId="0" applyNumberFormat="1" applyFont="1" applyBorder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 x14ac:dyDescent="0.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 x14ac:dyDescent="0.2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 x14ac:dyDescent="0.2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 x14ac:dyDescent="0.2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 x14ac:dyDescent="0.2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 x14ac:dyDescent="0.2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 x14ac:dyDescent="0.2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 x14ac:dyDescent="0.2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 x14ac:dyDescent="0.2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 x14ac:dyDescent="0.2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 x14ac:dyDescent="0.2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 x14ac:dyDescent="0.2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 x14ac:dyDescent="0.2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 x14ac:dyDescent="0.2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 x14ac:dyDescent="0.2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 x14ac:dyDescent="0.2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 x14ac:dyDescent="0.2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 x14ac:dyDescent="0.2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 x14ac:dyDescent="0.2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 x14ac:dyDescent="0.2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 x14ac:dyDescent="0.2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 x14ac:dyDescent="0.2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 x14ac:dyDescent="0.2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 x14ac:dyDescent="0.2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 x14ac:dyDescent="0.2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 x14ac:dyDescent="0.2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 x14ac:dyDescent="0.2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 x14ac:dyDescent="0.2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 x14ac:dyDescent="0.2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 x14ac:dyDescent="0.2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 x14ac:dyDescent="0.2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 x14ac:dyDescent="0.2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 x14ac:dyDescent="0.2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 x14ac:dyDescent="0.2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 x14ac:dyDescent="0.2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 x14ac:dyDescent="0.2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 x14ac:dyDescent="0.2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 x14ac:dyDescent="0.2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 x14ac:dyDescent="0.2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 x14ac:dyDescent="0.2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 x14ac:dyDescent="0.2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 x14ac:dyDescent="0.2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 x14ac:dyDescent="0.2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 x14ac:dyDescent="0.2">
      <c r="A43" s="6"/>
      <c r="B43" s="16"/>
      <c r="C43" s="6"/>
      <c r="D43" s="6"/>
      <c r="E43" s="6"/>
    </row>
    <row r="44" spans="1:16" x14ac:dyDescent="0.2">
      <c r="A44" s="6"/>
      <c r="B44" s="16"/>
      <c r="C44" s="6"/>
      <c r="D44" s="6"/>
      <c r="E44" s="6"/>
    </row>
    <row r="48" spans="1:16" x14ac:dyDescent="0.2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 x14ac:dyDescent="0.2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 x14ac:dyDescent="0.2"/>
    <row r="63" spans="6:16" ht="13.5" customHeight="1" x14ac:dyDescent="0.2"/>
    <row r="64" spans="6:16" ht="13.5" customHeight="1" x14ac:dyDescent="0.2"/>
    <row r="560" spans="8:8" x14ac:dyDescent="0.2">
      <c r="H560" s="15" t="s">
        <v>266</v>
      </c>
    </row>
    <row r="561" spans="8:8" x14ac:dyDescent="0.2">
      <c r="H561" s="15" t="s">
        <v>267</v>
      </c>
    </row>
    <row r="1048576" spans="9:13" x14ac:dyDescent="0.2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 x14ac:dyDescent="0.25"/>
  <cols>
    <col min="4" max="4" width="10.42578125" customWidth="1"/>
    <col min="8" max="10" width="0" hidden="1" customWidth="1"/>
  </cols>
  <sheetData>
    <row r="1" spans="1:16383" x14ac:dyDescent="0.25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 x14ac:dyDescent="0.2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 x14ac:dyDescent="0.2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 x14ac:dyDescent="0.2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 x14ac:dyDescent="0.2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 x14ac:dyDescent="0.2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 x14ac:dyDescent="0.2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 x14ac:dyDescent="0.2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 x14ac:dyDescent="0.25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 x14ac:dyDescent="0.25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 x14ac:dyDescent="0.2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 x14ac:dyDescent="0.2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 x14ac:dyDescent="0.2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 x14ac:dyDescent="0.2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 x14ac:dyDescent="0.2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 x14ac:dyDescent="0.2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 x14ac:dyDescent="0.2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 x14ac:dyDescent="0.2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 x14ac:dyDescent="0.2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 x14ac:dyDescent="0.2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 x14ac:dyDescent="0.2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 x14ac:dyDescent="0.2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 x14ac:dyDescent="0.2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 x14ac:dyDescent="0.2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 x14ac:dyDescent="0.2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 x14ac:dyDescent="0.2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 x14ac:dyDescent="0.2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 x14ac:dyDescent="0.2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 x14ac:dyDescent="0.2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 x14ac:dyDescent="0.25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 x14ac:dyDescent="0.25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 x14ac:dyDescent="0.2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 x14ac:dyDescent="0.25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 x14ac:dyDescent="0.2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 x14ac:dyDescent="0.2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 x14ac:dyDescent="0.2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 x14ac:dyDescent="0.2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 x14ac:dyDescent="0.2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 x14ac:dyDescent="0.2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 x14ac:dyDescent="0.2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 x14ac:dyDescent="0.2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 x14ac:dyDescent="0.2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 x14ac:dyDescent="0.2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 x14ac:dyDescent="0.2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 x14ac:dyDescent="0.2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 x14ac:dyDescent="0.2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 x14ac:dyDescent="0.2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 x14ac:dyDescent="0.2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 x14ac:dyDescent="0.2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 x14ac:dyDescent="0.2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 x14ac:dyDescent="0.2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 x14ac:dyDescent="0.2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 x14ac:dyDescent="0.2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 x14ac:dyDescent="0.2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 x14ac:dyDescent="0.2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 x14ac:dyDescent="0.2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 x14ac:dyDescent="0.2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 x14ac:dyDescent="0.2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 x14ac:dyDescent="0.2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 x14ac:dyDescent="0.2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 x14ac:dyDescent="0.2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 x14ac:dyDescent="0.2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 x14ac:dyDescent="0.2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 x14ac:dyDescent="0.25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 x14ac:dyDescent="0.2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 x14ac:dyDescent="0.25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 x14ac:dyDescent="0.2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 x14ac:dyDescent="0.2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 x14ac:dyDescent="0.2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 x14ac:dyDescent="0.2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 x14ac:dyDescent="0.2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 x14ac:dyDescent="0.2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 x14ac:dyDescent="0.2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 x14ac:dyDescent="0.2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 x14ac:dyDescent="0.2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 x14ac:dyDescent="0.2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 x14ac:dyDescent="0.2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 x14ac:dyDescent="0.2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 x14ac:dyDescent="0.2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 x14ac:dyDescent="0.2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 x14ac:dyDescent="0.2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 x14ac:dyDescent="0.2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 x14ac:dyDescent="0.2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 x14ac:dyDescent="0.2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 x14ac:dyDescent="0.2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 x14ac:dyDescent="0.2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 x14ac:dyDescent="0.2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 x14ac:dyDescent="0.2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 x14ac:dyDescent="0.2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 x14ac:dyDescent="0.25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 x14ac:dyDescent="0.25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 x14ac:dyDescent="0.25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x14ac:dyDescent="0.2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 x14ac:dyDescent="0.2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 x14ac:dyDescent="0.2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 x14ac:dyDescent="0.25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 x14ac:dyDescent="0.25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 x14ac:dyDescent="0.25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 x14ac:dyDescent="0.25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 x14ac:dyDescent="0.2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 x14ac:dyDescent="0.2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 x14ac:dyDescent="0.2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 x14ac:dyDescent="0.2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 x14ac:dyDescent="0.2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 x14ac:dyDescent="0.2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 x14ac:dyDescent="0.2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 x14ac:dyDescent="0.2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 x14ac:dyDescent="0.2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 x14ac:dyDescent="0.2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 x14ac:dyDescent="0.2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 x14ac:dyDescent="0.2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 x14ac:dyDescent="0.2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 x14ac:dyDescent="0.2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 x14ac:dyDescent="0.2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 x14ac:dyDescent="0.2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 x14ac:dyDescent="0.2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 x14ac:dyDescent="0.2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 x14ac:dyDescent="0.2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 x14ac:dyDescent="0.2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 x14ac:dyDescent="0.2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 x14ac:dyDescent="0.2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 x14ac:dyDescent="0.2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 x14ac:dyDescent="0.2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 x14ac:dyDescent="0.2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 x14ac:dyDescent="0.2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 x14ac:dyDescent="0.2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 x14ac:dyDescent="0.2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 x14ac:dyDescent="0.2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 x14ac:dyDescent="0.2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 x14ac:dyDescent="0.2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 x14ac:dyDescent="0.2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 x14ac:dyDescent="0.2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 x14ac:dyDescent="0.2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 x14ac:dyDescent="0.2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 x14ac:dyDescent="0.2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 x14ac:dyDescent="0.2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 x14ac:dyDescent="0.2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 x14ac:dyDescent="0.2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 x14ac:dyDescent="0.2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 x14ac:dyDescent="0.2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 x14ac:dyDescent="0.2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 x14ac:dyDescent="0.2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 x14ac:dyDescent="0.2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 x14ac:dyDescent="0.2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 x14ac:dyDescent="0.2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 x14ac:dyDescent="0.2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 x14ac:dyDescent="0.2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 x14ac:dyDescent="0.2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 x14ac:dyDescent="0.2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 x14ac:dyDescent="0.2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 x14ac:dyDescent="0.2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 x14ac:dyDescent="0.2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 x14ac:dyDescent="0.2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 x14ac:dyDescent="0.2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 x14ac:dyDescent="0.2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 x14ac:dyDescent="0.2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 x14ac:dyDescent="0.2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 x14ac:dyDescent="0.2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 x14ac:dyDescent="0.2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 x14ac:dyDescent="0.2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 x14ac:dyDescent="0.2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 x14ac:dyDescent="0.2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 x14ac:dyDescent="0.2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 x14ac:dyDescent="0.2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 x14ac:dyDescent="0.2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 x14ac:dyDescent="0.2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 x14ac:dyDescent="0.2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 x14ac:dyDescent="0.2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 x14ac:dyDescent="0.2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 x14ac:dyDescent="0.2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 x14ac:dyDescent="0.2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 x14ac:dyDescent="0.2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 x14ac:dyDescent="0.2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 x14ac:dyDescent="0.2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 x14ac:dyDescent="0.2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 x14ac:dyDescent="0.2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 x14ac:dyDescent="0.2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 x14ac:dyDescent="0.2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 x14ac:dyDescent="0.2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 x14ac:dyDescent="0.2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 x14ac:dyDescent="0.2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 x14ac:dyDescent="0.2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 x14ac:dyDescent="0.2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 x14ac:dyDescent="0.2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 x14ac:dyDescent="0.2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 x14ac:dyDescent="0.2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 x14ac:dyDescent="0.2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 x14ac:dyDescent="0.2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 x14ac:dyDescent="0.2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 x14ac:dyDescent="0.2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 x14ac:dyDescent="0.2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 x14ac:dyDescent="0.2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 x14ac:dyDescent="0.2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 x14ac:dyDescent="0.2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 x14ac:dyDescent="0.2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 x14ac:dyDescent="0.2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 x14ac:dyDescent="0.2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 x14ac:dyDescent="0.2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 x14ac:dyDescent="0.2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 x14ac:dyDescent="0.2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 x14ac:dyDescent="0.25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 x14ac:dyDescent="0.2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 x14ac:dyDescent="0.2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 x14ac:dyDescent="0.2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 x14ac:dyDescent="0.2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 x14ac:dyDescent="0.2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 x14ac:dyDescent="0.2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 x14ac:dyDescent="0.2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 x14ac:dyDescent="0.2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 x14ac:dyDescent="0.2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 x14ac:dyDescent="0.2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 x14ac:dyDescent="0.2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 x14ac:dyDescent="0.2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 x14ac:dyDescent="0.2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 x14ac:dyDescent="0.2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 x14ac:dyDescent="0.25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 x14ac:dyDescent="0.2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 x14ac:dyDescent="0.2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 x14ac:dyDescent="0.25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 x14ac:dyDescent="0.25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 x14ac:dyDescent="0.25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 x14ac:dyDescent="0.2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 x14ac:dyDescent="0.25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 x14ac:dyDescent="0.25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 x14ac:dyDescent="0.25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 x14ac:dyDescent="0.25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 x14ac:dyDescent="0.25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 x14ac:dyDescent="0.25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 x14ac:dyDescent="0.25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 x14ac:dyDescent="0.25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 x14ac:dyDescent="0.2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3"/>
  <sheetViews>
    <sheetView tabSelected="1" topLeftCell="A61" zoomScale="96" zoomScaleNormal="96" workbookViewId="0">
      <selection activeCell="L70" sqref="L70"/>
    </sheetView>
  </sheetViews>
  <sheetFormatPr defaultColWidth="12.140625" defaultRowHeight="12.75" x14ac:dyDescent="0.2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0.7109375" style="89" customWidth="1"/>
    <col min="8" max="8" width="7" style="89" customWidth="1"/>
    <col min="9" max="9" width="7.5703125" style="89" customWidth="1"/>
    <col min="10" max="10" width="8.85546875" style="89" customWidth="1"/>
    <col min="11" max="11" width="11" style="89" customWidth="1"/>
    <col min="12" max="12" width="9.28515625" style="89" customWidth="1"/>
    <col min="13" max="13" width="9.140625" style="89" customWidth="1"/>
    <col min="14" max="16384" width="12.140625" style="89"/>
  </cols>
  <sheetData>
    <row r="1" spans="1:15" ht="36" x14ac:dyDescent="0.25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 x14ac:dyDescent="0.25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  <c r="O2" s="89">
        <f t="shared" ref="O2:O33" si="0">SUM(F2:N2)</f>
        <v>29750</v>
      </c>
    </row>
    <row r="3" spans="1:15" x14ac:dyDescent="0.2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1">F3+I3</f>
        <v>13000</v>
      </c>
      <c r="K3" s="6">
        <v>2167</v>
      </c>
      <c r="L3" s="6">
        <v>13000</v>
      </c>
      <c r="M3" s="33">
        <f t="shared" ref="M3:M6" si="2">J3-L3</f>
        <v>0</v>
      </c>
      <c r="N3" s="33" t="s">
        <v>43</v>
      </c>
      <c r="O3" s="89">
        <f t="shared" si="0"/>
        <v>41667</v>
      </c>
    </row>
    <row r="4" spans="1:15" x14ac:dyDescent="0.2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1"/>
        <v>13000</v>
      </c>
      <c r="K4" s="6">
        <v>2167</v>
      </c>
      <c r="L4" s="6">
        <v>13000</v>
      </c>
      <c r="M4" s="33">
        <f t="shared" si="2"/>
        <v>0</v>
      </c>
      <c r="N4" s="33" t="s">
        <v>43</v>
      </c>
      <c r="O4" s="89">
        <f t="shared" si="0"/>
        <v>41667</v>
      </c>
    </row>
    <row r="5" spans="1:15" x14ac:dyDescent="0.2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2"/>
        <v>0</v>
      </c>
      <c r="N5" s="33" t="s">
        <v>66</v>
      </c>
      <c r="O5" s="89">
        <f t="shared" si="0"/>
        <v>39500</v>
      </c>
    </row>
    <row r="6" spans="1:15" ht="15" customHeight="1" x14ac:dyDescent="0.2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10000</v>
      </c>
      <c r="M6" s="33">
        <f t="shared" si="2"/>
        <v>0</v>
      </c>
      <c r="N6" s="33" t="s">
        <v>147</v>
      </c>
      <c r="O6" s="89">
        <f t="shared" si="0"/>
        <v>32167</v>
      </c>
    </row>
    <row r="7" spans="1:15" ht="15" customHeight="1" x14ac:dyDescent="0.2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19500</v>
      </c>
      <c r="M7" s="33">
        <v>0</v>
      </c>
      <c r="N7" s="33" t="s">
        <v>17</v>
      </c>
      <c r="O7" s="89">
        <f t="shared" si="0"/>
        <v>62250</v>
      </c>
    </row>
    <row r="8" spans="1:15" ht="15" customHeight="1" x14ac:dyDescent="0.2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  <c r="O8" s="89">
        <f t="shared" si="0"/>
        <v>62250</v>
      </c>
    </row>
    <row r="9" spans="1:15" x14ac:dyDescent="0.2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3">F9+I9</f>
        <v>12000</v>
      </c>
      <c r="K9" s="4">
        <v>3000</v>
      </c>
      <c r="L9" s="4">
        <v>12000</v>
      </c>
      <c r="M9" s="33">
        <v>0</v>
      </c>
      <c r="N9" s="4" t="s">
        <v>43</v>
      </c>
      <c r="O9" s="89">
        <f t="shared" si="0"/>
        <v>39500</v>
      </c>
    </row>
    <row r="10" spans="1:15" x14ac:dyDescent="0.2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13000</v>
      </c>
      <c r="M10" s="92">
        <f>J10-L10</f>
        <v>0</v>
      </c>
      <c r="N10" s="6" t="s">
        <v>17</v>
      </c>
      <c r="O10" s="89">
        <f t="shared" si="0"/>
        <v>41667</v>
      </c>
    </row>
    <row r="11" spans="1:15" x14ac:dyDescent="0.25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  <c r="O11" s="89">
        <f t="shared" si="0"/>
        <v>20000</v>
      </c>
    </row>
    <row r="12" spans="1:15" x14ac:dyDescent="0.25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10000</v>
      </c>
      <c r="M12" s="33">
        <v>0</v>
      </c>
      <c r="N12" s="33" t="s">
        <v>66</v>
      </c>
      <c r="O12" s="89">
        <f t="shared" si="0"/>
        <v>32167</v>
      </c>
    </row>
    <row r="13" spans="1:15" x14ac:dyDescent="0.2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10000</v>
      </c>
      <c r="M13" s="33">
        <v>0</v>
      </c>
      <c r="N13" s="33" t="s">
        <v>111</v>
      </c>
      <c r="O13" s="89">
        <f t="shared" si="0"/>
        <v>32167</v>
      </c>
    </row>
    <row r="14" spans="1:15" x14ac:dyDescent="0.25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19500</v>
      </c>
      <c r="M14" s="33">
        <v>0</v>
      </c>
      <c r="N14" s="33" t="s">
        <v>66</v>
      </c>
      <c r="O14" s="89">
        <f t="shared" si="0"/>
        <v>62250</v>
      </c>
    </row>
    <row r="15" spans="1:15" x14ac:dyDescent="0.25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  <c r="O15" s="89">
        <f t="shared" si="0"/>
        <v>33500</v>
      </c>
    </row>
    <row r="16" spans="1:15" x14ac:dyDescent="0.25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10000</v>
      </c>
      <c r="M16" s="33">
        <v>0</v>
      </c>
      <c r="N16" s="33" t="s">
        <v>17</v>
      </c>
      <c r="O16" s="89">
        <f t="shared" si="0"/>
        <v>32167</v>
      </c>
    </row>
    <row r="17" spans="1:15" x14ac:dyDescent="0.25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13000</v>
      </c>
      <c r="M17" s="33">
        <v>0</v>
      </c>
      <c r="N17" s="33" t="s">
        <v>43</v>
      </c>
      <c r="O17" s="89">
        <f t="shared" si="0"/>
        <v>41667</v>
      </c>
    </row>
    <row r="18" spans="1:15" x14ac:dyDescent="0.25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10000</v>
      </c>
      <c r="M18" s="33">
        <v>0</v>
      </c>
      <c r="N18" s="33" t="s">
        <v>17</v>
      </c>
      <c r="O18" s="89">
        <f t="shared" si="0"/>
        <v>32167</v>
      </c>
    </row>
    <row r="19" spans="1:15" x14ac:dyDescent="0.25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6000</v>
      </c>
      <c r="M19" s="33">
        <v>0</v>
      </c>
      <c r="N19" s="33" t="s">
        <v>43</v>
      </c>
      <c r="O19" s="89">
        <f t="shared" si="0"/>
        <v>20000</v>
      </c>
    </row>
    <row r="20" spans="1:15" x14ac:dyDescent="0.25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7000</v>
      </c>
      <c r="G20" s="33" t="s">
        <v>412</v>
      </c>
      <c r="H20" s="33">
        <v>500</v>
      </c>
      <c r="I20" s="33">
        <v>3000</v>
      </c>
      <c r="J20" s="33">
        <v>10000</v>
      </c>
      <c r="K20" s="33">
        <v>1667</v>
      </c>
      <c r="L20" s="33">
        <v>10000</v>
      </c>
      <c r="M20" s="33">
        <v>0</v>
      </c>
      <c r="N20" s="33" t="s">
        <v>66</v>
      </c>
      <c r="O20" s="89">
        <f t="shared" si="0"/>
        <v>32167</v>
      </c>
    </row>
    <row r="21" spans="1:15" x14ac:dyDescent="0.25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19500</v>
      </c>
      <c r="M21" s="33">
        <v>0</v>
      </c>
      <c r="N21" s="33" t="s">
        <v>43</v>
      </c>
      <c r="O21" s="89">
        <f t="shared" si="0"/>
        <v>62250</v>
      </c>
    </row>
    <row r="22" spans="1:15" x14ac:dyDescent="0.25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  <c r="O22" s="89">
        <f t="shared" si="0"/>
        <v>20000</v>
      </c>
    </row>
    <row r="23" spans="1:15" x14ac:dyDescent="0.25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40500</v>
      </c>
      <c r="M23" s="33">
        <v>0</v>
      </c>
      <c r="N23" s="33" t="s">
        <v>17</v>
      </c>
      <c r="O23" s="89">
        <f t="shared" si="0"/>
        <v>128750</v>
      </c>
    </row>
    <row r="24" spans="1:15" x14ac:dyDescent="0.25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0</v>
      </c>
      <c r="N24" s="33" t="s">
        <v>17</v>
      </c>
      <c r="O24" s="89">
        <f t="shared" si="0"/>
        <v>78500</v>
      </c>
    </row>
    <row r="25" spans="1:15" x14ac:dyDescent="0.25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6000</v>
      </c>
      <c r="M25" s="33">
        <v>0</v>
      </c>
      <c r="N25" s="33" t="s">
        <v>43</v>
      </c>
      <c r="O25" s="89">
        <f t="shared" si="0"/>
        <v>20000</v>
      </c>
    </row>
    <row r="26" spans="1:15" x14ac:dyDescent="0.25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6000</v>
      </c>
      <c r="M26" s="33">
        <v>0</v>
      </c>
      <c r="N26" s="33" t="s">
        <v>43</v>
      </c>
      <c r="O26" s="89">
        <f t="shared" si="0"/>
        <v>20000</v>
      </c>
    </row>
    <row r="27" spans="1:15" x14ac:dyDescent="0.2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13000</v>
      </c>
      <c r="M27" s="18">
        <v>0</v>
      </c>
      <c r="N27" s="33" t="s">
        <v>43</v>
      </c>
      <c r="O27" s="98">
        <f t="shared" si="0"/>
        <v>41667</v>
      </c>
    </row>
    <row r="28" spans="1:15" x14ac:dyDescent="0.2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13000</v>
      </c>
      <c r="M28" s="33">
        <v>0</v>
      </c>
      <c r="N28" s="33" t="s">
        <v>490</v>
      </c>
      <c r="O28" s="98">
        <f t="shared" si="0"/>
        <v>41667</v>
      </c>
    </row>
    <row r="29" spans="1:15" x14ac:dyDescent="0.25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1500</v>
      </c>
      <c r="M29" s="33">
        <v>4500</v>
      </c>
      <c r="N29" s="33" t="s">
        <v>490</v>
      </c>
      <c r="O29" s="89">
        <f t="shared" si="0"/>
        <v>20000</v>
      </c>
    </row>
    <row r="30" spans="1:15" x14ac:dyDescent="0.25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8480</v>
      </c>
      <c r="M30" s="33">
        <v>3520</v>
      </c>
      <c r="N30" s="33" t="s">
        <v>43</v>
      </c>
      <c r="O30" s="89">
        <f t="shared" si="0"/>
        <v>38500</v>
      </c>
    </row>
    <row r="31" spans="1:15" x14ac:dyDescent="0.25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34050</v>
      </c>
      <c r="M31" s="33">
        <v>0</v>
      </c>
      <c r="N31" s="33" t="s">
        <v>17</v>
      </c>
      <c r="O31" s="89">
        <f t="shared" si="0"/>
        <v>108325</v>
      </c>
    </row>
    <row r="32" spans="1:15" x14ac:dyDescent="0.25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10000</v>
      </c>
      <c r="M32" s="33">
        <v>0</v>
      </c>
      <c r="N32" s="33" t="s">
        <v>43</v>
      </c>
      <c r="O32" s="89">
        <f t="shared" si="0"/>
        <v>32167</v>
      </c>
    </row>
    <row r="33" spans="1:15" x14ac:dyDescent="0.25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10000</v>
      </c>
      <c r="M33" s="33">
        <v>0</v>
      </c>
      <c r="N33" s="33" t="s">
        <v>43</v>
      </c>
      <c r="O33" s="89">
        <f t="shared" si="0"/>
        <v>32167</v>
      </c>
    </row>
    <row r="34" spans="1:15" x14ac:dyDescent="0.25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  <c r="O34" s="89">
        <f t="shared" ref="O34:O65" si="4">SUM(F34:N34)</f>
        <v>78500</v>
      </c>
    </row>
    <row r="35" spans="1:15" x14ac:dyDescent="0.25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26000</v>
      </c>
      <c r="M35" s="33">
        <v>0</v>
      </c>
      <c r="N35" s="33" t="s">
        <v>43</v>
      </c>
      <c r="O35" s="89">
        <f t="shared" si="4"/>
        <v>82834</v>
      </c>
    </row>
    <row r="36" spans="1:15" x14ac:dyDescent="0.25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  <c r="O36" s="89">
        <f t="shared" si="4"/>
        <v>42700</v>
      </c>
    </row>
    <row r="37" spans="1:15" x14ac:dyDescent="0.25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3065</v>
      </c>
      <c r="M37" s="33">
        <v>6935</v>
      </c>
      <c r="N37" s="33" t="s">
        <v>66</v>
      </c>
      <c r="O37" s="89">
        <f t="shared" si="4"/>
        <v>32167</v>
      </c>
    </row>
    <row r="38" spans="1:15" x14ac:dyDescent="0.25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8333</v>
      </c>
      <c r="M38" s="33">
        <v>1667</v>
      </c>
      <c r="N38" s="33" t="s">
        <v>66</v>
      </c>
      <c r="O38" s="89">
        <f t="shared" si="4"/>
        <v>32167</v>
      </c>
    </row>
    <row r="39" spans="1:15" x14ac:dyDescent="0.25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  <c r="O39" s="89">
        <f t="shared" si="4"/>
        <v>41667</v>
      </c>
    </row>
    <row r="40" spans="1:15" x14ac:dyDescent="0.25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13000</v>
      </c>
      <c r="M40" s="33">
        <v>0</v>
      </c>
      <c r="N40" s="33" t="s">
        <v>17</v>
      </c>
      <c r="O40" s="89">
        <f t="shared" si="4"/>
        <v>41667</v>
      </c>
    </row>
    <row r="41" spans="1:15" x14ac:dyDescent="0.25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13000</v>
      </c>
      <c r="M41" s="33">
        <v>0</v>
      </c>
      <c r="N41" s="33" t="s">
        <v>17</v>
      </c>
      <c r="O41" s="89">
        <f t="shared" si="4"/>
        <v>41667</v>
      </c>
    </row>
    <row r="42" spans="1:15" x14ac:dyDescent="0.25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10000</v>
      </c>
      <c r="M42" s="33">
        <v>0</v>
      </c>
      <c r="N42" s="33" t="s">
        <v>43</v>
      </c>
      <c r="O42" s="89">
        <f t="shared" si="4"/>
        <v>32167</v>
      </c>
    </row>
    <row r="43" spans="1:15" x14ac:dyDescent="0.25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  <c r="O43" s="89">
        <f t="shared" si="4"/>
        <v>41667</v>
      </c>
    </row>
    <row r="44" spans="1:15" x14ac:dyDescent="0.25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  <c r="O44" s="89">
        <f t="shared" si="4"/>
        <v>39500</v>
      </c>
    </row>
    <row r="45" spans="1:15" x14ac:dyDescent="0.25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10000</v>
      </c>
      <c r="M45" s="33">
        <v>0</v>
      </c>
      <c r="N45" s="33" t="s">
        <v>66</v>
      </c>
      <c r="O45" s="89">
        <f t="shared" si="4"/>
        <v>32167</v>
      </c>
    </row>
    <row r="46" spans="1:15" x14ac:dyDescent="0.25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18200</v>
      </c>
      <c r="M46" s="33">
        <v>0</v>
      </c>
      <c r="N46" s="33" t="s">
        <v>17</v>
      </c>
      <c r="O46" s="89">
        <f t="shared" si="4"/>
        <v>57938</v>
      </c>
    </row>
    <row r="47" spans="1:15" x14ac:dyDescent="0.25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10000</v>
      </c>
      <c r="M47" s="33">
        <v>0</v>
      </c>
      <c r="N47" s="33" t="s">
        <v>66</v>
      </c>
      <c r="O47" s="89">
        <f t="shared" si="4"/>
        <v>32167</v>
      </c>
    </row>
    <row r="48" spans="1:15" x14ac:dyDescent="0.25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10000</v>
      </c>
      <c r="M48" s="33">
        <v>0</v>
      </c>
      <c r="N48" s="33" t="s">
        <v>66</v>
      </c>
      <c r="O48" s="89">
        <f t="shared" si="4"/>
        <v>32167</v>
      </c>
    </row>
    <row r="49" spans="1:29" x14ac:dyDescent="0.25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10000</v>
      </c>
      <c r="M49" s="33">
        <v>0</v>
      </c>
      <c r="N49" s="33" t="s">
        <v>66</v>
      </c>
      <c r="O49" s="89">
        <f t="shared" si="4"/>
        <v>33500</v>
      </c>
    </row>
    <row r="50" spans="1:29" x14ac:dyDescent="0.25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10000</v>
      </c>
      <c r="M50" s="33">
        <v>0</v>
      </c>
      <c r="N50" s="33" t="s">
        <v>43</v>
      </c>
      <c r="O50" s="89">
        <f t="shared" si="4"/>
        <v>32167</v>
      </c>
    </row>
    <row r="51" spans="1:29" x14ac:dyDescent="0.25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10000</v>
      </c>
      <c r="M51" s="33">
        <v>0</v>
      </c>
      <c r="N51" s="33" t="s">
        <v>43</v>
      </c>
      <c r="O51" s="89">
        <f t="shared" si="4"/>
        <v>32167</v>
      </c>
    </row>
    <row r="52" spans="1:29" x14ac:dyDescent="0.25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10000</v>
      </c>
      <c r="M52" s="33">
        <v>0</v>
      </c>
      <c r="N52" s="33" t="s">
        <v>17</v>
      </c>
      <c r="O52" s="89">
        <f t="shared" si="4"/>
        <v>38667</v>
      </c>
    </row>
    <row r="53" spans="1:29" x14ac:dyDescent="0.25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  <c r="O53" s="89">
        <f t="shared" si="4"/>
        <v>39500</v>
      </c>
    </row>
    <row r="54" spans="1:29" x14ac:dyDescent="0.25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21600</v>
      </c>
      <c r="M54" s="33">
        <v>0</v>
      </c>
      <c r="N54" s="33" t="s">
        <v>17</v>
      </c>
      <c r="O54" s="89">
        <f t="shared" si="4"/>
        <v>70700</v>
      </c>
    </row>
    <row r="55" spans="1:29" x14ac:dyDescent="0.25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  <c r="O55" s="89">
        <f t="shared" si="4"/>
        <v>49900</v>
      </c>
    </row>
    <row r="56" spans="1:29" x14ac:dyDescent="0.25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10000</v>
      </c>
      <c r="M56" s="33">
        <v>0</v>
      </c>
      <c r="N56" s="33" t="s">
        <v>66</v>
      </c>
      <c r="O56" s="89">
        <f t="shared" si="4"/>
        <v>32167</v>
      </c>
    </row>
    <row r="57" spans="1:29" x14ac:dyDescent="0.25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24000</v>
      </c>
      <c r="M57" s="33">
        <v>0</v>
      </c>
      <c r="N57" s="33" t="s">
        <v>43</v>
      </c>
      <c r="O57" s="89">
        <f t="shared" si="4"/>
        <v>78500</v>
      </c>
    </row>
    <row r="58" spans="1:29" x14ac:dyDescent="0.25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12000</v>
      </c>
      <c r="M58" s="33">
        <v>0</v>
      </c>
      <c r="N58" s="33" t="s">
        <v>17</v>
      </c>
      <c r="O58" s="89">
        <f t="shared" si="4"/>
        <v>39500</v>
      </c>
    </row>
    <row r="59" spans="1:29" x14ac:dyDescent="0.25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10000</v>
      </c>
      <c r="M59" s="33">
        <v>0</v>
      </c>
      <c r="N59" s="33" t="s">
        <v>17</v>
      </c>
      <c r="O59" s="89">
        <f t="shared" si="4"/>
        <v>33000</v>
      </c>
    </row>
    <row r="60" spans="1:29" x14ac:dyDescent="0.25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10000</v>
      </c>
      <c r="M60" s="33">
        <v>0</v>
      </c>
      <c r="N60" s="33" t="s">
        <v>17</v>
      </c>
      <c r="O60" s="89">
        <f t="shared" si="4"/>
        <v>32167</v>
      </c>
    </row>
    <row r="61" spans="1:29" x14ac:dyDescent="0.25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40500</v>
      </c>
      <c r="M61" s="33">
        <v>0</v>
      </c>
      <c r="N61" s="33" t="s">
        <v>17</v>
      </c>
      <c r="O61" s="89">
        <f t="shared" si="4"/>
        <v>128750</v>
      </c>
    </row>
    <row r="62" spans="1:29" x14ac:dyDescent="0.25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12000</v>
      </c>
      <c r="M62" s="33">
        <v>0</v>
      </c>
      <c r="N62" s="33" t="s">
        <v>17</v>
      </c>
      <c r="O62" s="89">
        <f t="shared" si="4"/>
        <v>38500</v>
      </c>
    </row>
    <row r="63" spans="1:29" x14ac:dyDescent="0.25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10000</v>
      </c>
      <c r="M63" s="33">
        <v>0</v>
      </c>
      <c r="N63" s="33" t="s">
        <v>43</v>
      </c>
      <c r="O63" s="89">
        <f t="shared" si="4"/>
        <v>32167</v>
      </c>
    </row>
    <row r="64" spans="1:29" x14ac:dyDescent="0.25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6000</v>
      </c>
      <c r="M64" s="33">
        <v>0</v>
      </c>
      <c r="N64" s="33" t="s">
        <v>66</v>
      </c>
      <c r="O64" s="89">
        <f t="shared" si="4"/>
        <v>20000</v>
      </c>
      <c r="AC64" s="89" t="s">
        <v>513</v>
      </c>
    </row>
    <row r="65" spans="1:15" x14ac:dyDescent="0.25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9000</v>
      </c>
      <c r="M65" s="33">
        <v>0</v>
      </c>
      <c r="N65" s="33" t="s">
        <v>66</v>
      </c>
      <c r="O65" s="89">
        <f t="shared" si="4"/>
        <v>29750</v>
      </c>
    </row>
    <row r="66" spans="1:15" x14ac:dyDescent="0.25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10000</v>
      </c>
      <c r="M66" s="33">
        <v>0</v>
      </c>
      <c r="N66" s="33" t="s">
        <v>43</v>
      </c>
      <c r="O66" s="89">
        <f t="shared" ref="O66:O97" si="5">SUM(F66:N66)</f>
        <v>32167</v>
      </c>
    </row>
    <row r="67" spans="1:15" x14ac:dyDescent="0.25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10000</v>
      </c>
      <c r="M67" s="33">
        <v>0</v>
      </c>
      <c r="N67" s="33" t="s">
        <v>43</v>
      </c>
      <c r="O67" s="89">
        <f t="shared" si="5"/>
        <v>32167</v>
      </c>
    </row>
    <row r="68" spans="1:15" x14ac:dyDescent="0.25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10000</v>
      </c>
      <c r="M68" s="33">
        <v>0</v>
      </c>
      <c r="N68" s="33" t="s">
        <v>75</v>
      </c>
      <c r="O68" s="89">
        <f t="shared" si="5"/>
        <v>32167</v>
      </c>
    </row>
    <row r="69" spans="1:15" x14ac:dyDescent="0.25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10000</v>
      </c>
      <c r="M69" s="33">
        <v>0</v>
      </c>
      <c r="N69" s="33" t="s">
        <v>43</v>
      </c>
      <c r="O69" s="89">
        <f t="shared" si="5"/>
        <v>32167</v>
      </c>
    </row>
    <row r="70" spans="1:15" x14ac:dyDescent="0.25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3332</v>
      </c>
      <c r="M70" s="33">
        <v>6668</v>
      </c>
      <c r="N70" s="33" t="s">
        <v>43</v>
      </c>
      <c r="O70" s="89">
        <f t="shared" si="5"/>
        <v>32167</v>
      </c>
    </row>
    <row r="71" spans="1:15" x14ac:dyDescent="0.25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10000</v>
      </c>
      <c r="M71" s="33">
        <v>0</v>
      </c>
      <c r="N71" s="33" t="s">
        <v>43</v>
      </c>
      <c r="O71" s="89">
        <f t="shared" si="5"/>
        <v>32167</v>
      </c>
    </row>
    <row r="72" spans="1:15" x14ac:dyDescent="0.25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13000</v>
      </c>
      <c r="M72" s="33">
        <v>0</v>
      </c>
      <c r="N72" s="33" t="s">
        <v>43</v>
      </c>
      <c r="O72" s="89">
        <f t="shared" si="5"/>
        <v>41667</v>
      </c>
    </row>
    <row r="73" spans="1:15" x14ac:dyDescent="0.25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6000</v>
      </c>
      <c r="M73" s="33">
        <v>0</v>
      </c>
      <c r="N73" s="33" t="s">
        <v>66</v>
      </c>
      <c r="O73" s="89">
        <f t="shared" si="5"/>
        <v>20000</v>
      </c>
    </row>
    <row r="74" spans="1:15" x14ac:dyDescent="0.25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19500</v>
      </c>
      <c r="M74" s="33">
        <v>0</v>
      </c>
      <c r="N74" s="33" t="s">
        <v>43</v>
      </c>
      <c r="O74" s="89">
        <f t="shared" si="5"/>
        <v>62250</v>
      </c>
    </row>
    <row r="75" spans="1:15" x14ac:dyDescent="0.25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7599</v>
      </c>
      <c r="M75" s="33">
        <v>2401</v>
      </c>
      <c r="N75" s="33" t="s">
        <v>43</v>
      </c>
      <c r="O75" s="89">
        <f t="shared" si="5"/>
        <v>32167</v>
      </c>
    </row>
    <row r="76" spans="1:15" x14ac:dyDescent="0.25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9000</v>
      </c>
      <c r="M76" s="33">
        <v>0</v>
      </c>
      <c r="N76" s="33" t="s">
        <v>43</v>
      </c>
      <c r="O76" s="89">
        <f t="shared" si="5"/>
        <v>30750</v>
      </c>
    </row>
    <row r="77" spans="1:15" x14ac:dyDescent="0.25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12000</v>
      </c>
      <c r="M77" s="33">
        <v>0</v>
      </c>
      <c r="N77" s="33" t="s">
        <v>17</v>
      </c>
      <c r="O77" s="89">
        <f t="shared" si="5"/>
        <v>38500</v>
      </c>
    </row>
    <row r="78" spans="1:15" x14ac:dyDescent="0.25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13000</v>
      </c>
      <c r="M78" s="33">
        <v>0</v>
      </c>
      <c r="N78" s="33" t="s">
        <v>17</v>
      </c>
      <c r="O78" s="89">
        <f t="shared" si="5"/>
        <v>41667</v>
      </c>
    </row>
    <row r="79" spans="1:15" x14ac:dyDescent="0.25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13000</v>
      </c>
      <c r="M79" s="33">
        <v>0</v>
      </c>
      <c r="N79" s="33" t="s">
        <v>43</v>
      </c>
      <c r="O79" s="89">
        <f t="shared" si="5"/>
        <v>41667</v>
      </c>
    </row>
    <row r="80" spans="1:15" x14ac:dyDescent="0.25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10000</v>
      </c>
      <c r="M80" s="33">
        <v>0</v>
      </c>
      <c r="N80" s="33" t="s">
        <v>66</v>
      </c>
      <c r="O80" s="89">
        <f t="shared" si="5"/>
        <v>32167</v>
      </c>
    </row>
    <row r="81" spans="1:15" x14ac:dyDescent="0.25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34050</v>
      </c>
      <c r="M81" s="33">
        <v>0</v>
      </c>
      <c r="N81" s="33" t="s">
        <v>43</v>
      </c>
      <c r="O81" s="89">
        <f t="shared" si="5"/>
        <v>108325</v>
      </c>
    </row>
    <row r="82" spans="1:15" x14ac:dyDescent="0.25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10000</v>
      </c>
      <c r="M82" s="33">
        <v>0</v>
      </c>
      <c r="N82" s="33" t="s">
        <v>43</v>
      </c>
      <c r="O82" s="89">
        <f t="shared" si="5"/>
        <v>32167</v>
      </c>
    </row>
    <row r="83" spans="1:15" x14ac:dyDescent="0.25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15600</v>
      </c>
      <c r="M83" s="33">
        <v>0</v>
      </c>
      <c r="N83" s="33" t="s">
        <v>43</v>
      </c>
      <c r="O83" s="89">
        <f t="shared" si="5"/>
        <v>49900</v>
      </c>
    </row>
    <row r="84" spans="1:15" x14ac:dyDescent="0.25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11000</v>
      </c>
      <c r="M84" s="33">
        <v>0</v>
      </c>
      <c r="N84" s="33" t="s">
        <v>43</v>
      </c>
      <c r="O84" s="89">
        <f t="shared" si="5"/>
        <v>35338</v>
      </c>
    </row>
    <row r="85" spans="1:15" x14ac:dyDescent="0.25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11000</v>
      </c>
      <c r="M85" s="33">
        <v>0</v>
      </c>
      <c r="N85" s="33" t="s">
        <v>43</v>
      </c>
      <c r="O85" s="89">
        <f t="shared" si="5"/>
        <v>35334</v>
      </c>
    </row>
    <row r="86" spans="1:15" x14ac:dyDescent="0.25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13000</v>
      </c>
      <c r="M86" s="33">
        <v>0</v>
      </c>
      <c r="N86" s="33" t="s">
        <v>43</v>
      </c>
      <c r="O86" s="89">
        <f t="shared" si="5"/>
        <v>41667</v>
      </c>
    </row>
    <row r="87" spans="1:15" x14ac:dyDescent="0.25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13000</v>
      </c>
      <c r="M87" s="33">
        <v>0</v>
      </c>
      <c r="N87" s="33" t="s">
        <v>17</v>
      </c>
      <c r="O87" s="89">
        <f t="shared" si="5"/>
        <v>41667</v>
      </c>
    </row>
    <row r="88" spans="1:15" x14ac:dyDescent="0.25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12000</v>
      </c>
      <c r="M88" s="33">
        <v>0</v>
      </c>
      <c r="N88" s="33" t="s">
        <v>17</v>
      </c>
      <c r="O88" s="89">
        <f t="shared" si="5"/>
        <v>39500</v>
      </c>
    </row>
    <row r="89" spans="1:15" x14ac:dyDescent="0.25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12000</v>
      </c>
      <c r="M89" s="33">
        <v>0</v>
      </c>
      <c r="N89" s="33" t="s">
        <v>43</v>
      </c>
      <c r="O89" s="89">
        <f t="shared" si="5"/>
        <v>39500</v>
      </c>
    </row>
    <row r="90" spans="1:15" x14ac:dyDescent="0.25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9000</v>
      </c>
      <c r="M90" s="33">
        <v>0</v>
      </c>
      <c r="N90" s="33" t="s">
        <v>17</v>
      </c>
      <c r="O90" s="89">
        <f t="shared" si="5"/>
        <v>29750</v>
      </c>
    </row>
    <row r="91" spans="1:15" x14ac:dyDescent="0.25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12000</v>
      </c>
      <c r="K91" s="33">
        <v>2000</v>
      </c>
      <c r="L91" s="33">
        <v>12000</v>
      </c>
      <c r="M91" s="33">
        <v>0</v>
      </c>
      <c r="N91" s="33" t="s">
        <v>17</v>
      </c>
      <c r="O91" s="89">
        <f t="shared" si="5"/>
        <v>38500</v>
      </c>
    </row>
    <row r="92" spans="1:15" x14ac:dyDescent="0.25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10000</v>
      </c>
      <c r="G92" s="33" t="s">
        <v>412</v>
      </c>
      <c r="H92" s="33">
        <v>500</v>
      </c>
      <c r="I92" s="33">
        <v>3000</v>
      </c>
      <c r="J92" s="33">
        <v>13000</v>
      </c>
      <c r="K92" s="33">
        <v>2167</v>
      </c>
      <c r="L92" s="33">
        <v>13000</v>
      </c>
      <c r="M92" s="33">
        <v>0</v>
      </c>
      <c r="N92" s="33" t="s">
        <v>43</v>
      </c>
      <c r="O92" s="89">
        <f t="shared" si="5"/>
        <v>41667</v>
      </c>
    </row>
    <row r="93" spans="1:15" x14ac:dyDescent="0.25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11000</v>
      </c>
      <c r="M93" s="33">
        <v>0</v>
      </c>
      <c r="N93" s="33" t="s">
        <v>43</v>
      </c>
      <c r="O93" s="89">
        <f t="shared" si="5"/>
        <v>35334</v>
      </c>
    </row>
    <row r="94" spans="1:15" x14ac:dyDescent="0.25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12000</v>
      </c>
      <c r="M94" s="33">
        <v>0</v>
      </c>
      <c r="N94" s="33" t="s">
        <v>66</v>
      </c>
      <c r="O94" s="89">
        <f t="shared" si="5"/>
        <v>39500</v>
      </c>
    </row>
    <row r="95" spans="1:15" x14ac:dyDescent="0.25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24000</v>
      </c>
      <c r="M95" s="33">
        <v>0</v>
      </c>
      <c r="N95" s="33" t="s">
        <v>66</v>
      </c>
      <c r="O95" s="89">
        <f t="shared" si="5"/>
        <v>78500</v>
      </c>
    </row>
    <row r="96" spans="1:15" x14ac:dyDescent="0.25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13000</v>
      </c>
      <c r="M96" s="33">
        <v>0</v>
      </c>
      <c r="N96" s="33" t="s">
        <v>43</v>
      </c>
      <c r="O96" s="89">
        <f t="shared" si="5"/>
        <v>41667</v>
      </c>
    </row>
    <row r="97" spans="1:15" x14ac:dyDescent="0.25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12000</v>
      </c>
      <c r="M97" s="33">
        <v>0</v>
      </c>
      <c r="N97" s="33" t="s">
        <v>66</v>
      </c>
      <c r="O97" s="89">
        <f t="shared" si="5"/>
        <v>39500</v>
      </c>
    </row>
    <row r="98" spans="1:15" x14ac:dyDescent="0.25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15600</v>
      </c>
      <c r="M98" s="33">
        <v>0</v>
      </c>
      <c r="N98" s="33" t="s">
        <v>43</v>
      </c>
      <c r="O98" s="89">
        <f t="shared" ref="O98:O129" si="6">SUM(F98:N98)</f>
        <v>49900</v>
      </c>
    </row>
    <row r="99" spans="1:15" x14ac:dyDescent="0.25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9000</v>
      </c>
      <c r="M99" s="33">
        <v>0</v>
      </c>
      <c r="N99" s="33" t="s">
        <v>66</v>
      </c>
      <c r="O99" s="89">
        <f t="shared" si="6"/>
        <v>29750</v>
      </c>
    </row>
    <row r="100" spans="1:15" x14ac:dyDescent="0.25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13000</v>
      </c>
      <c r="M100" s="33">
        <v>0</v>
      </c>
      <c r="N100" s="33" t="s">
        <v>17</v>
      </c>
      <c r="O100" s="89">
        <f t="shared" si="6"/>
        <v>41667</v>
      </c>
    </row>
    <row r="101" spans="1:15" x14ac:dyDescent="0.25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12000</v>
      </c>
      <c r="M101" s="33">
        <v>0</v>
      </c>
      <c r="N101" s="33" t="s">
        <v>66</v>
      </c>
      <c r="O101" s="89">
        <f t="shared" si="6"/>
        <v>39500</v>
      </c>
    </row>
    <row r="102" spans="1:15" x14ac:dyDescent="0.25">
      <c r="A102" s="33" t="s">
        <v>586</v>
      </c>
      <c r="B102" s="33" t="s">
        <v>583</v>
      </c>
      <c r="C102" s="33" t="s">
        <v>584</v>
      </c>
      <c r="D102" s="33" t="str">
        <f>254&amp;796291816</f>
        <v>254796291816</v>
      </c>
      <c r="E102" s="33" t="str">
        <f>254&amp;759522005</f>
        <v>254759522005</v>
      </c>
      <c r="F102" s="33">
        <v>7000</v>
      </c>
      <c r="G102" s="33" t="s">
        <v>507</v>
      </c>
      <c r="H102" s="33">
        <v>500</v>
      </c>
      <c r="I102" s="33">
        <v>3000</v>
      </c>
      <c r="J102" s="33">
        <v>10000</v>
      </c>
      <c r="K102" s="33">
        <v>1667</v>
      </c>
      <c r="L102" s="33">
        <v>7999</v>
      </c>
      <c r="M102" s="33">
        <v>2001</v>
      </c>
      <c r="N102" s="33" t="s">
        <v>43</v>
      </c>
      <c r="O102" s="89">
        <f t="shared" si="6"/>
        <v>32167</v>
      </c>
    </row>
    <row r="103" spans="1:15" x14ac:dyDescent="0.25">
      <c r="A103" s="33" t="s">
        <v>586</v>
      </c>
      <c r="B103" s="33" t="s">
        <v>587</v>
      </c>
      <c r="C103" s="33" t="s">
        <v>588</v>
      </c>
      <c r="D103" s="33" t="str">
        <f>254&amp;799871943</f>
        <v>254799871943</v>
      </c>
      <c r="E103" s="33" t="str">
        <f>254&amp;742728359</f>
        <v>254742728359</v>
      </c>
      <c r="F103" s="33">
        <v>10000</v>
      </c>
      <c r="G103" s="33" t="s">
        <v>558</v>
      </c>
      <c r="H103" s="33">
        <v>500</v>
      </c>
      <c r="I103" s="33">
        <v>3000</v>
      </c>
      <c r="J103" s="33">
        <v>13000</v>
      </c>
      <c r="K103" s="33">
        <v>2167</v>
      </c>
      <c r="L103" s="33">
        <v>13000</v>
      </c>
      <c r="M103" s="33">
        <v>0</v>
      </c>
      <c r="N103" s="33" t="s">
        <v>43</v>
      </c>
      <c r="O103" s="89">
        <f t="shared" si="6"/>
        <v>41667</v>
      </c>
    </row>
    <row r="104" spans="1:15" x14ac:dyDescent="0.25">
      <c r="A104" s="33" t="s">
        <v>589</v>
      </c>
      <c r="B104" s="33" t="s">
        <v>177</v>
      </c>
      <c r="C104" s="33" t="s">
        <v>178</v>
      </c>
      <c r="D104" s="33" t="str">
        <f>254&amp;790244173</f>
        <v>254790244173</v>
      </c>
      <c r="E104" s="33" t="str">
        <f>254&amp;768208209</f>
        <v>254768208209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13000</v>
      </c>
      <c r="M104" s="33">
        <v>0</v>
      </c>
      <c r="N104" s="33" t="s">
        <v>17</v>
      </c>
      <c r="O104" s="89">
        <f t="shared" si="6"/>
        <v>41667</v>
      </c>
    </row>
    <row r="105" spans="1:15" x14ac:dyDescent="0.25">
      <c r="A105" s="33" t="s">
        <v>589</v>
      </c>
      <c r="B105" s="33" t="s">
        <v>46</v>
      </c>
      <c r="C105" s="33" t="s">
        <v>590</v>
      </c>
      <c r="D105" s="33" t="str">
        <f>254&amp;708448209</f>
        <v>254708448209</v>
      </c>
      <c r="E105" s="33" t="str">
        <f>254&amp;116691166</f>
        <v>254116691166</v>
      </c>
      <c r="F105" s="33">
        <v>12000</v>
      </c>
      <c r="G105" s="33" t="s">
        <v>558</v>
      </c>
      <c r="H105" s="33">
        <v>500</v>
      </c>
      <c r="I105" s="33">
        <v>3600</v>
      </c>
      <c r="J105" s="33">
        <v>15600</v>
      </c>
      <c r="K105" s="33">
        <v>2600</v>
      </c>
      <c r="L105" s="33">
        <v>15600</v>
      </c>
      <c r="M105" s="33">
        <v>0</v>
      </c>
      <c r="N105" s="33" t="s">
        <v>17</v>
      </c>
      <c r="O105" s="89">
        <f t="shared" si="6"/>
        <v>49900</v>
      </c>
    </row>
    <row r="106" spans="1:15" x14ac:dyDescent="0.25">
      <c r="A106" s="33" t="s">
        <v>589</v>
      </c>
      <c r="B106" s="33" t="s">
        <v>234</v>
      </c>
      <c r="C106" s="33" t="s">
        <v>591</v>
      </c>
      <c r="D106" s="33" t="str">
        <f>254&amp;727364504</f>
        <v>254727364504</v>
      </c>
      <c r="E106" s="33" t="str">
        <f>254&amp;792519004</f>
        <v>254792519004</v>
      </c>
      <c r="F106" s="33">
        <v>12000</v>
      </c>
      <c r="G106" s="33" t="s">
        <v>507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15600</v>
      </c>
      <c r="M106" s="33">
        <v>0</v>
      </c>
      <c r="N106" s="33" t="s">
        <v>43</v>
      </c>
      <c r="O106" s="89">
        <f t="shared" si="6"/>
        <v>49900</v>
      </c>
    </row>
    <row r="107" spans="1:15" x14ac:dyDescent="0.25">
      <c r="A107" s="33" t="s">
        <v>589</v>
      </c>
      <c r="B107" s="33" t="s">
        <v>44</v>
      </c>
      <c r="C107" s="33" t="s">
        <v>592</v>
      </c>
      <c r="D107" s="33" t="str">
        <f>254&amp;741227923</f>
        <v>254741227923</v>
      </c>
      <c r="E107" s="33" t="str">
        <f>254&amp;757960463</f>
        <v>254757960463</v>
      </c>
      <c r="F107" s="33">
        <v>7000</v>
      </c>
      <c r="G107" s="33" t="s">
        <v>558</v>
      </c>
      <c r="H107" s="33">
        <v>500</v>
      </c>
      <c r="I107" s="33">
        <v>3000</v>
      </c>
      <c r="J107" s="33">
        <v>10000</v>
      </c>
      <c r="K107" s="33">
        <v>1667</v>
      </c>
      <c r="L107" s="33">
        <v>1667</v>
      </c>
      <c r="M107" s="33">
        <v>8333</v>
      </c>
      <c r="N107" s="33" t="s">
        <v>43</v>
      </c>
      <c r="O107" s="89">
        <f t="shared" si="6"/>
        <v>32167</v>
      </c>
    </row>
    <row r="108" spans="1:15" x14ac:dyDescent="0.25">
      <c r="A108" s="33" t="s">
        <v>589</v>
      </c>
      <c r="B108" s="33" t="s">
        <v>624</v>
      </c>
      <c r="C108" s="33" t="s">
        <v>625</v>
      </c>
      <c r="D108" s="33" t="str">
        <f>254&amp;748310063</f>
        <v>254748310063</v>
      </c>
      <c r="E108" s="33" t="str">
        <f>254&amp;721425519</f>
        <v>254721425519</v>
      </c>
      <c r="F108" s="33">
        <v>10000</v>
      </c>
      <c r="G108" s="33" t="s">
        <v>507</v>
      </c>
      <c r="H108" s="33">
        <v>500</v>
      </c>
      <c r="I108" s="33">
        <v>3000</v>
      </c>
      <c r="J108" s="33">
        <v>13000</v>
      </c>
      <c r="K108" s="33">
        <v>2167</v>
      </c>
      <c r="L108" s="33">
        <v>13000</v>
      </c>
      <c r="M108" s="33">
        <v>0</v>
      </c>
      <c r="N108" s="33" t="s">
        <v>43</v>
      </c>
      <c r="O108" s="89">
        <f t="shared" si="6"/>
        <v>41667</v>
      </c>
    </row>
    <row r="109" spans="1:15" x14ac:dyDescent="0.25">
      <c r="A109" s="33" t="s">
        <v>589</v>
      </c>
      <c r="B109" s="33" t="s">
        <v>241</v>
      </c>
      <c r="C109" s="33" t="s">
        <v>158</v>
      </c>
      <c r="D109" s="33" t="str">
        <f>254&amp;706439225</f>
        <v>254706439225</v>
      </c>
      <c r="E109" s="33" t="str">
        <f>254&amp;106602609</f>
        <v>254106602609</v>
      </c>
      <c r="F109" s="33">
        <v>10000</v>
      </c>
      <c r="G109" s="33" t="s">
        <v>492</v>
      </c>
      <c r="H109" s="33">
        <v>500</v>
      </c>
      <c r="I109" s="33">
        <v>2000</v>
      </c>
      <c r="J109" s="33">
        <v>12000</v>
      </c>
      <c r="K109" s="33">
        <v>3000</v>
      </c>
      <c r="L109" s="33">
        <v>12000</v>
      </c>
      <c r="M109" s="33">
        <v>0</v>
      </c>
      <c r="N109" s="33" t="s">
        <v>43</v>
      </c>
      <c r="O109" s="89">
        <f t="shared" si="6"/>
        <v>39500</v>
      </c>
    </row>
    <row r="110" spans="1:15" x14ac:dyDescent="0.25">
      <c r="A110" s="33" t="s">
        <v>589</v>
      </c>
      <c r="B110" s="33" t="s">
        <v>599</v>
      </c>
      <c r="C110" s="33" t="s">
        <v>600</v>
      </c>
      <c r="D110" s="33" t="str">
        <f>254&amp;715577248</f>
        <v>254715577248</v>
      </c>
      <c r="E110" s="33" t="str">
        <f>254&amp;741463602</f>
        <v>254741463602</v>
      </c>
      <c r="F110" s="33">
        <v>8000</v>
      </c>
      <c r="G110" s="33" t="s">
        <v>507</v>
      </c>
      <c r="H110" s="33">
        <v>500</v>
      </c>
      <c r="I110" s="33">
        <v>3000</v>
      </c>
      <c r="J110" s="33">
        <v>11000</v>
      </c>
      <c r="K110" s="33">
        <v>1834</v>
      </c>
      <c r="L110" s="33">
        <v>11000</v>
      </c>
      <c r="M110" s="33">
        <v>0</v>
      </c>
      <c r="N110" s="33" t="s">
        <v>43</v>
      </c>
      <c r="O110" s="89">
        <f t="shared" si="6"/>
        <v>35334</v>
      </c>
    </row>
    <row r="111" spans="1:15" x14ac:dyDescent="0.25">
      <c r="A111" s="33" t="s">
        <v>589</v>
      </c>
      <c r="B111" s="33" t="s">
        <v>601</v>
      </c>
      <c r="C111" s="33" t="s">
        <v>602</v>
      </c>
      <c r="D111" s="33" t="str">
        <f>254&amp;799173612</f>
        <v>254799173612</v>
      </c>
      <c r="E111" s="33" t="str">
        <f>254&amp;708387501</f>
        <v>254708387501</v>
      </c>
      <c r="F111" s="33">
        <v>10000</v>
      </c>
      <c r="G111" s="33" t="s">
        <v>492</v>
      </c>
      <c r="H111" s="33">
        <v>500</v>
      </c>
      <c r="I111" s="33">
        <v>2000</v>
      </c>
      <c r="J111" s="33">
        <v>12000</v>
      </c>
      <c r="K111" s="33">
        <v>3000</v>
      </c>
      <c r="L111" s="33">
        <v>12000</v>
      </c>
      <c r="M111" s="33">
        <v>0</v>
      </c>
      <c r="N111" s="33" t="s">
        <v>147</v>
      </c>
      <c r="O111" s="89">
        <f t="shared" si="6"/>
        <v>39500</v>
      </c>
    </row>
    <row r="112" spans="1:15" x14ac:dyDescent="0.25">
      <c r="A112" s="33" t="s">
        <v>589</v>
      </c>
      <c r="B112" s="33" t="s">
        <v>603</v>
      </c>
      <c r="C112" s="33" t="s">
        <v>604</v>
      </c>
      <c r="D112" s="33" t="str">
        <f>254&amp;715924520</f>
        <v>254715924520</v>
      </c>
      <c r="E112" s="33" t="str">
        <f>254&amp;114625557</f>
        <v>254114625557</v>
      </c>
      <c r="F112" s="33">
        <v>7000</v>
      </c>
      <c r="G112" s="33" t="s">
        <v>560</v>
      </c>
      <c r="H112" s="33">
        <v>500</v>
      </c>
      <c r="I112" s="33">
        <v>3000</v>
      </c>
      <c r="J112" s="33">
        <v>10000</v>
      </c>
      <c r="K112" s="33">
        <v>1667</v>
      </c>
      <c r="L112" s="33">
        <v>1667</v>
      </c>
      <c r="M112" s="33">
        <v>8333</v>
      </c>
      <c r="N112" s="33" t="s">
        <v>66</v>
      </c>
      <c r="O112" s="89">
        <f t="shared" si="6"/>
        <v>32167</v>
      </c>
    </row>
    <row r="113" spans="1:15" x14ac:dyDescent="0.25">
      <c r="A113" s="33" t="s">
        <v>605</v>
      </c>
      <c r="B113" s="33" t="s">
        <v>606</v>
      </c>
      <c r="C113" s="33" t="s">
        <v>607</v>
      </c>
      <c r="D113" s="33" t="str">
        <f>254&amp;24592850</f>
        <v>25424592850</v>
      </c>
      <c r="E113" s="33" t="str">
        <f>254&amp;726768129</f>
        <v>254726768129</v>
      </c>
      <c r="F113" s="33">
        <v>7000</v>
      </c>
      <c r="G113" s="33" t="s">
        <v>507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10000</v>
      </c>
      <c r="M113" s="33">
        <v>0</v>
      </c>
      <c r="N113" s="33" t="s">
        <v>66</v>
      </c>
      <c r="O113" s="89">
        <f t="shared" si="6"/>
        <v>32167</v>
      </c>
    </row>
    <row r="114" spans="1:15" x14ac:dyDescent="0.25">
      <c r="A114" s="33" t="s">
        <v>605</v>
      </c>
      <c r="B114" s="33" t="s">
        <v>50</v>
      </c>
      <c r="C114" s="33" t="s">
        <v>51</v>
      </c>
      <c r="D114" s="33" t="str">
        <f>254&amp;718846710</f>
        <v>254718846710</v>
      </c>
      <c r="E114" s="33" t="str">
        <f>2547&amp;708382465</f>
        <v>2547708382465</v>
      </c>
      <c r="F114" s="33">
        <v>12000</v>
      </c>
      <c r="G114" s="33" t="s">
        <v>507</v>
      </c>
      <c r="H114" s="33">
        <v>500</v>
      </c>
      <c r="I114" s="33">
        <v>3600</v>
      </c>
      <c r="J114" s="33">
        <v>15600</v>
      </c>
      <c r="K114" s="33">
        <v>2600</v>
      </c>
      <c r="L114" s="33">
        <v>15600</v>
      </c>
      <c r="M114" s="33">
        <v>0</v>
      </c>
      <c r="N114" s="33" t="s">
        <v>17</v>
      </c>
      <c r="O114" s="89">
        <f t="shared" si="6"/>
        <v>49900</v>
      </c>
    </row>
    <row r="115" spans="1:15" x14ac:dyDescent="0.25">
      <c r="A115" s="33" t="s">
        <v>605</v>
      </c>
      <c r="B115" s="33" t="s">
        <v>92</v>
      </c>
      <c r="C115" s="33" t="s">
        <v>608</v>
      </c>
      <c r="D115" s="33" t="str">
        <f>254&amp;705436184</f>
        <v>254705436184</v>
      </c>
      <c r="E115" s="33" t="str">
        <f>254&amp;791919951</f>
        <v>254791919951</v>
      </c>
      <c r="F115" s="33">
        <v>5000</v>
      </c>
      <c r="G115" s="33" t="s">
        <v>532</v>
      </c>
      <c r="H115" s="33">
        <v>500</v>
      </c>
      <c r="I115" s="33">
        <v>1000</v>
      </c>
      <c r="J115" s="33">
        <v>6000</v>
      </c>
      <c r="K115" s="33">
        <v>1500</v>
      </c>
      <c r="L115" s="33">
        <v>6000</v>
      </c>
      <c r="M115" s="33">
        <v>0</v>
      </c>
      <c r="N115" s="33" t="s">
        <v>17</v>
      </c>
      <c r="O115" s="89">
        <f t="shared" si="6"/>
        <v>20000</v>
      </c>
    </row>
    <row r="116" spans="1:15" x14ac:dyDescent="0.25">
      <c r="A116" s="33" t="s">
        <v>605</v>
      </c>
      <c r="B116" s="33" t="s">
        <v>609</v>
      </c>
      <c r="C116" s="33" t="s">
        <v>610</v>
      </c>
      <c r="D116" s="33" t="str">
        <f>254&amp;707492014</f>
        <v>254707492014</v>
      </c>
      <c r="E116" s="33" t="str">
        <f>254&amp;720311445</f>
        <v>254720311445</v>
      </c>
      <c r="F116" s="33">
        <v>7000</v>
      </c>
      <c r="G116" s="33" t="s">
        <v>507</v>
      </c>
      <c r="H116" s="33">
        <v>500</v>
      </c>
      <c r="I116" s="33">
        <v>3000</v>
      </c>
      <c r="J116" s="33">
        <v>10000</v>
      </c>
      <c r="K116" s="33">
        <v>1667</v>
      </c>
      <c r="L116" s="33">
        <v>10000</v>
      </c>
      <c r="M116" s="33">
        <v>0</v>
      </c>
      <c r="N116" s="33" t="s">
        <v>17</v>
      </c>
      <c r="O116" s="89">
        <f t="shared" si="6"/>
        <v>32167</v>
      </c>
    </row>
    <row r="117" spans="1:15" x14ac:dyDescent="0.25">
      <c r="A117" s="33" t="s">
        <v>605</v>
      </c>
      <c r="B117" s="33" t="s">
        <v>611</v>
      </c>
      <c r="C117" s="33" t="s">
        <v>612</v>
      </c>
      <c r="D117" s="33" t="str">
        <f>254&amp;725718918</f>
        <v>254725718918</v>
      </c>
      <c r="E117" s="33" t="str">
        <f>254&amp;711856758</f>
        <v>254711856758</v>
      </c>
      <c r="F117" s="33">
        <v>9000</v>
      </c>
      <c r="G117" s="33" t="s">
        <v>412</v>
      </c>
      <c r="H117" s="33">
        <v>500</v>
      </c>
      <c r="I117" s="33">
        <v>3000</v>
      </c>
      <c r="J117" s="33">
        <v>11000</v>
      </c>
      <c r="K117" s="33">
        <v>2000</v>
      </c>
      <c r="L117" s="33">
        <v>9000</v>
      </c>
      <c r="M117" s="33">
        <v>2000</v>
      </c>
      <c r="N117" s="33" t="s">
        <v>17</v>
      </c>
      <c r="O117" s="89">
        <f t="shared" si="6"/>
        <v>36500</v>
      </c>
    </row>
    <row r="118" spans="1:15" x14ac:dyDescent="0.25">
      <c r="A118" s="33" t="s">
        <v>605</v>
      </c>
      <c r="B118" s="33" t="s">
        <v>613</v>
      </c>
      <c r="C118" s="33" t="s">
        <v>614</v>
      </c>
      <c r="D118" s="33" t="str">
        <f>254&amp;725380367</f>
        <v>254725380367</v>
      </c>
      <c r="E118" s="33" t="str">
        <f>254&amp;728534959</f>
        <v>254728534959</v>
      </c>
      <c r="F118" s="33">
        <v>10000</v>
      </c>
      <c r="G118" s="33" t="s">
        <v>412</v>
      </c>
      <c r="H118" s="33">
        <v>500</v>
      </c>
      <c r="I118" s="33">
        <v>3000</v>
      </c>
      <c r="J118" s="33">
        <v>13000</v>
      </c>
      <c r="K118" s="33">
        <v>2167</v>
      </c>
      <c r="L118" s="33">
        <v>13000</v>
      </c>
      <c r="M118" s="33">
        <v>0</v>
      </c>
      <c r="N118" s="33" t="s">
        <v>17</v>
      </c>
      <c r="O118" s="89">
        <f t="shared" si="6"/>
        <v>41667</v>
      </c>
    </row>
    <row r="119" spans="1:15" x14ac:dyDescent="0.25">
      <c r="A119" s="33" t="s">
        <v>605</v>
      </c>
      <c r="B119" s="33" t="s">
        <v>615</v>
      </c>
      <c r="C119" s="33" t="s">
        <v>616</v>
      </c>
      <c r="D119" s="33" t="str">
        <f>254&amp;791967871</f>
        <v>254791967871</v>
      </c>
      <c r="E119" s="33" t="str">
        <f>254&amp;7757262313</f>
        <v>2547757262313</v>
      </c>
      <c r="F119" s="33">
        <v>5000</v>
      </c>
      <c r="G119" s="33" t="s">
        <v>413</v>
      </c>
      <c r="H119" s="33">
        <v>500</v>
      </c>
      <c r="I119" s="33">
        <v>1000</v>
      </c>
      <c r="J119" s="33">
        <v>6000</v>
      </c>
      <c r="K119" s="33">
        <v>1500</v>
      </c>
      <c r="L119" s="33">
        <v>6000</v>
      </c>
      <c r="M119" s="33">
        <v>0</v>
      </c>
      <c r="N119" s="33" t="s">
        <v>43</v>
      </c>
      <c r="O119" s="89">
        <f t="shared" si="6"/>
        <v>20000</v>
      </c>
    </row>
    <row r="120" spans="1:15" x14ac:dyDescent="0.25">
      <c r="A120" s="33" t="s">
        <v>619</v>
      </c>
      <c r="B120" s="33" t="s">
        <v>283</v>
      </c>
      <c r="C120" s="33" t="s">
        <v>620</v>
      </c>
      <c r="D120" s="33" t="str">
        <f>254&amp;797396337</f>
        <v>254797396337</v>
      </c>
      <c r="E120" s="33" t="str">
        <f>254&amp;715228494</f>
        <v>254715228494</v>
      </c>
      <c r="F120" s="33">
        <v>10000</v>
      </c>
      <c r="G120" s="33" t="s">
        <v>413</v>
      </c>
      <c r="H120" s="33">
        <v>500</v>
      </c>
      <c r="I120" s="33">
        <v>2000</v>
      </c>
      <c r="J120" s="33">
        <v>12000</v>
      </c>
      <c r="K120" s="33">
        <v>3000</v>
      </c>
      <c r="L120" s="33">
        <v>12000</v>
      </c>
      <c r="M120" s="33">
        <v>0</v>
      </c>
      <c r="N120" s="33" t="s">
        <v>17</v>
      </c>
      <c r="O120" s="89">
        <f t="shared" si="6"/>
        <v>39500</v>
      </c>
    </row>
    <row r="121" spans="1:15" x14ac:dyDescent="0.25">
      <c r="A121" s="33" t="s">
        <v>619</v>
      </c>
      <c r="B121" s="33" t="s">
        <v>621</v>
      </c>
      <c r="C121" s="33" t="s">
        <v>622</v>
      </c>
      <c r="D121" s="33" t="str">
        <f>254&amp;792149332</f>
        <v>254792149332</v>
      </c>
      <c r="E121" s="33" t="str">
        <f>254&amp;721778601</f>
        <v>254721778601</v>
      </c>
      <c r="F121" s="33">
        <v>7000</v>
      </c>
      <c r="G121" s="33" t="s">
        <v>412</v>
      </c>
      <c r="H121" s="33">
        <v>500</v>
      </c>
      <c r="I121" s="33">
        <v>3000</v>
      </c>
      <c r="J121" s="33">
        <v>10000</v>
      </c>
      <c r="K121" s="33">
        <v>1667</v>
      </c>
      <c r="L121" s="33">
        <v>10000</v>
      </c>
      <c r="M121" s="33">
        <v>0</v>
      </c>
      <c r="N121" s="33" t="s">
        <v>66</v>
      </c>
      <c r="O121" s="89">
        <f t="shared" si="6"/>
        <v>32167</v>
      </c>
    </row>
    <row r="122" spans="1:15" x14ac:dyDescent="0.2">
      <c r="A122" s="38" t="s">
        <v>619</v>
      </c>
      <c r="B122" s="6" t="s">
        <v>232</v>
      </c>
      <c r="C122" s="6" t="s">
        <v>233</v>
      </c>
      <c r="D122" s="17" t="str">
        <f>254&amp;727865456</f>
        <v>254727865456</v>
      </c>
      <c r="E122" s="6" t="str">
        <f>254&amp;726503829</f>
        <v>254726503829</v>
      </c>
      <c r="F122" s="33">
        <v>25000</v>
      </c>
      <c r="G122" s="6" t="s">
        <v>124</v>
      </c>
      <c r="H122" s="33">
        <v>500</v>
      </c>
      <c r="I122" s="33">
        <v>9050</v>
      </c>
      <c r="J122" s="33">
        <v>34050</v>
      </c>
      <c r="K122" s="33">
        <v>5675</v>
      </c>
      <c r="L122" s="33">
        <v>34050</v>
      </c>
      <c r="M122" s="33">
        <v>0</v>
      </c>
      <c r="N122" s="33" t="s">
        <v>43</v>
      </c>
      <c r="O122" s="89">
        <f t="shared" si="6"/>
        <v>108325</v>
      </c>
    </row>
    <row r="123" spans="1:15" x14ac:dyDescent="0.25">
      <c r="A123" s="33" t="s">
        <v>619</v>
      </c>
      <c r="B123" s="33" t="s">
        <v>113</v>
      </c>
      <c r="C123" s="33" t="s">
        <v>623</v>
      </c>
      <c r="D123" s="33" t="str">
        <f>254&amp;721356359</f>
        <v>254721356359</v>
      </c>
      <c r="E123" s="33" t="str">
        <f>254&amp;721401919</f>
        <v>254721401919</v>
      </c>
      <c r="F123" s="33">
        <v>15000</v>
      </c>
      <c r="G123" s="33" t="s">
        <v>412</v>
      </c>
      <c r="H123" s="33">
        <v>500</v>
      </c>
      <c r="I123" s="33">
        <v>4500</v>
      </c>
      <c r="J123" s="33">
        <v>19500</v>
      </c>
      <c r="K123" s="33">
        <v>3250</v>
      </c>
      <c r="L123" s="33">
        <v>19500</v>
      </c>
      <c r="M123" s="33">
        <v>0</v>
      </c>
      <c r="N123" s="33" t="s">
        <v>17</v>
      </c>
      <c r="O123" s="89">
        <f t="shared" si="6"/>
        <v>62250</v>
      </c>
    </row>
    <row r="124" spans="1:15" x14ac:dyDescent="0.25">
      <c r="A124" s="38" t="s">
        <v>619</v>
      </c>
      <c r="B124" s="33" t="s">
        <v>57</v>
      </c>
      <c r="C124" s="33" t="s">
        <v>58</v>
      </c>
      <c r="D124" s="33" t="str">
        <f>254&amp;727059976</f>
        <v>254727059976</v>
      </c>
      <c r="E124" s="33" t="str">
        <f>254&amp;714716360</f>
        <v>254714716360</v>
      </c>
      <c r="F124" s="33">
        <v>5000</v>
      </c>
      <c r="G124" s="33" t="s">
        <v>413</v>
      </c>
      <c r="H124" s="33">
        <v>500</v>
      </c>
      <c r="I124" s="33">
        <v>1000</v>
      </c>
      <c r="J124" s="33">
        <v>6000</v>
      </c>
      <c r="K124" s="33">
        <v>1500</v>
      </c>
      <c r="L124" s="33">
        <v>6000</v>
      </c>
      <c r="M124" s="33">
        <v>0</v>
      </c>
      <c r="N124" s="33" t="s">
        <v>17</v>
      </c>
      <c r="O124" s="89">
        <f t="shared" si="6"/>
        <v>20000</v>
      </c>
    </row>
    <row r="125" spans="1:15" x14ac:dyDescent="0.25">
      <c r="A125" s="38" t="s">
        <v>619</v>
      </c>
      <c r="B125" s="33" t="s">
        <v>94</v>
      </c>
      <c r="C125" s="33" t="s">
        <v>95</v>
      </c>
      <c r="D125" s="33" t="str">
        <f>254&amp;726949202</f>
        <v>254726949202</v>
      </c>
      <c r="E125" s="33" t="str">
        <f>254&amp;728735170</f>
        <v>254728735170</v>
      </c>
      <c r="F125" s="33">
        <v>7000</v>
      </c>
      <c r="G125" s="33" t="s">
        <v>16</v>
      </c>
      <c r="H125" s="33">
        <v>500</v>
      </c>
      <c r="I125" s="33">
        <v>3000</v>
      </c>
      <c r="J125" s="33">
        <v>10000</v>
      </c>
      <c r="K125" s="33">
        <v>1667</v>
      </c>
      <c r="L125" s="33">
        <v>10000</v>
      </c>
      <c r="M125" s="33">
        <v>0</v>
      </c>
      <c r="N125" s="33" t="s">
        <v>66</v>
      </c>
      <c r="O125" s="89">
        <f t="shared" si="6"/>
        <v>32167</v>
      </c>
    </row>
    <row r="126" spans="1:15" x14ac:dyDescent="0.25">
      <c r="A126" s="38" t="s">
        <v>619</v>
      </c>
      <c r="B126" s="33" t="s">
        <v>103</v>
      </c>
      <c r="C126" s="33" t="s">
        <v>104</v>
      </c>
      <c r="D126" s="33" t="str">
        <f>254&amp;794029149</f>
        <v>254794029149</v>
      </c>
      <c r="E126" s="33" t="str">
        <f>254&amp;717512042</f>
        <v>254717512042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10000</v>
      </c>
      <c r="M126" s="33">
        <v>0</v>
      </c>
      <c r="N126" s="33" t="s">
        <v>66</v>
      </c>
      <c r="O126" s="89">
        <f t="shared" si="6"/>
        <v>32167</v>
      </c>
    </row>
    <row r="127" spans="1:15" x14ac:dyDescent="0.25">
      <c r="A127" s="33" t="s">
        <v>619</v>
      </c>
      <c r="B127" s="33" t="s">
        <v>627</v>
      </c>
      <c r="C127" s="33" t="s">
        <v>626</v>
      </c>
      <c r="D127" s="33" t="str">
        <f>254&amp;794416300</f>
        <v>254794416300</v>
      </c>
      <c r="E127" s="33" t="str">
        <f>254&amp;728397868</f>
        <v>254728397868</v>
      </c>
      <c r="F127" s="33">
        <v>5000</v>
      </c>
      <c r="G127" s="33" t="s">
        <v>532</v>
      </c>
      <c r="H127" s="33">
        <v>500</v>
      </c>
      <c r="I127" s="33">
        <v>1000</v>
      </c>
      <c r="J127" s="33">
        <v>6000</v>
      </c>
      <c r="K127" s="33">
        <v>1500</v>
      </c>
      <c r="L127" s="33">
        <v>6000</v>
      </c>
      <c r="M127" s="33">
        <v>0</v>
      </c>
      <c r="N127" s="33" t="s">
        <v>66</v>
      </c>
      <c r="O127" s="89">
        <f t="shared" si="6"/>
        <v>20000</v>
      </c>
    </row>
    <row r="128" spans="1:15" x14ac:dyDescent="0.25">
      <c r="A128" s="38" t="s">
        <v>619</v>
      </c>
      <c r="B128" s="33" t="s">
        <v>155</v>
      </c>
      <c r="C128" s="33" t="s">
        <v>154</v>
      </c>
      <c r="D128" s="33" t="str">
        <f>254&amp;724712026</f>
        <v>254724712026</v>
      </c>
      <c r="E128" s="33" t="str">
        <f>254&amp;746563025</f>
        <v>254746563025</v>
      </c>
      <c r="F128" s="33">
        <v>10000</v>
      </c>
      <c r="G128" s="33" t="s">
        <v>213</v>
      </c>
      <c r="H128" s="33">
        <v>500</v>
      </c>
      <c r="I128" s="33">
        <v>2000</v>
      </c>
      <c r="J128" s="33">
        <v>12000</v>
      </c>
      <c r="K128" s="33">
        <v>3000</v>
      </c>
      <c r="L128" s="33">
        <v>12000</v>
      </c>
      <c r="M128" s="33">
        <v>0</v>
      </c>
      <c r="N128" s="33" t="s">
        <v>17</v>
      </c>
      <c r="O128" s="89">
        <f t="shared" si="6"/>
        <v>39500</v>
      </c>
    </row>
    <row r="129" spans="1:15" x14ac:dyDescent="0.25">
      <c r="A129" s="38" t="s">
        <v>628</v>
      </c>
      <c r="B129" s="33" t="s">
        <v>179</v>
      </c>
      <c r="C129" s="33" t="s">
        <v>180</v>
      </c>
      <c r="D129" s="33" t="str">
        <f>254&amp;797775990</f>
        <v>254797775990</v>
      </c>
      <c r="E129" s="33" t="str">
        <f>254&amp;748608288</f>
        <v>254748608288</v>
      </c>
      <c r="F129" s="33">
        <v>12000</v>
      </c>
      <c r="G129" s="33" t="s">
        <v>124</v>
      </c>
      <c r="H129" s="33">
        <v>500</v>
      </c>
      <c r="I129" s="33">
        <v>3600</v>
      </c>
      <c r="J129" s="33">
        <v>15600</v>
      </c>
      <c r="K129" s="33">
        <v>2600</v>
      </c>
      <c r="L129" s="33">
        <v>15600</v>
      </c>
      <c r="M129" s="33">
        <v>0</v>
      </c>
      <c r="N129" s="33" t="s">
        <v>66</v>
      </c>
      <c r="O129" s="89">
        <f t="shared" si="6"/>
        <v>49900</v>
      </c>
    </row>
    <row r="130" spans="1:15" x14ac:dyDescent="0.25">
      <c r="A130" s="38" t="s">
        <v>628</v>
      </c>
      <c r="B130" s="33" t="s">
        <v>271</v>
      </c>
      <c r="C130" s="33" t="s">
        <v>272</v>
      </c>
      <c r="D130" s="33" t="str">
        <f>254&amp;724701702</f>
        <v>254724701702</v>
      </c>
      <c r="E130" s="33" t="str">
        <f>254&amp;710576285</f>
        <v>254710576285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15600</v>
      </c>
      <c r="M130" s="33">
        <v>0</v>
      </c>
      <c r="N130" s="33" t="s">
        <v>17</v>
      </c>
      <c r="O130" s="89">
        <f t="shared" ref="O130:O161" si="7">SUM(F130:N130)</f>
        <v>49900</v>
      </c>
    </row>
    <row r="131" spans="1:15" x14ac:dyDescent="0.25">
      <c r="A131" s="38" t="s">
        <v>628</v>
      </c>
      <c r="B131" s="33" t="s">
        <v>114</v>
      </c>
      <c r="C131" s="33" t="s">
        <v>115</v>
      </c>
      <c r="D131" s="33" t="str">
        <f>254&amp;742033906</f>
        <v>254742033906</v>
      </c>
      <c r="E131" s="33" t="str">
        <f>254&amp;790412266</f>
        <v>254790412266</v>
      </c>
      <c r="F131" s="33">
        <v>12000</v>
      </c>
      <c r="G131" s="33" t="s">
        <v>16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15600</v>
      </c>
      <c r="M131" s="33">
        <v>0</v>
      </c>
      <c r="N131" s="33" t="s">
        <v>111</v>
      </c>
      <c r="O131" s="89">
        <f t="shared" si="7"/>
        <v>49900</v>
      </c>
    </row>
    <row r="132" spans="1:15" x14ac:dyDescent="0.25">
      <c r="A132" s="38" t="s">
        <v>628</v>
      </c>
      <c r="B132" s="33" t="s">
        <v>39</v>
      </c>
      <c r="C132" s="33" t="s">
        <v>40</v>
      </c>
      <c r="D132" s="33" t="str">
        <f>254&amp;721937013</f>
        <v>254721937013</v>
      </c>
      <c r="E132" s="33" t="str">
        <f>254&amp;797691850</f>
        <v>254797691850</v>
      </c>
      <c r="F132" s="33">
        <v>10000</v>
      </c>
      <c r="G132" s="33" t="s">
        <v>31</v>
      </c>
      <c r="H132" s="33">
        <v>500</v>
      </c>
      <c r="I132" s="33">
        <v>2000</v>
      </c>
      <c r="J132" s="33">
        <v>12000</v>
      </c>
      <c r="K132" s="33">
        <v>3000</v>
      </c>
      <c r="L132" s="33">
        <v>12000</v>
      </c>
      <c r="M132" s="33">
        <v>0</v>
      </c>
      <c r="N132" s="33" t="s">
        <v>17</v>
      </c>
      <c r="O132" s="89">
        <f t="shared" si="7"/>
        <v>39500</v>
      </c>
    </row>
    <row r="133" spans="1:15" x14ac:dyDescent="0.25">
      <c r="A133" s="33" t="s">
        <v>628</v>
      </c>
      <c r="B133" s="33" t="s">
        <v>215</v>
      </c>
      <c r="C133" s="33" t="s">
        <v>216</v>
      </c>
      <c r="D133" s="33" t="str">
        <f>254&amp;796250750</f>
        <v>254796250750</v>
      </c>
      <c r="E133" s="33" t="str">
        <f>254&amp;742199155</f>
        <v>254742199155</v>
      </c>
      <c r="F133" s="92">
        <v>15000</v>
      </c>
      <c r="G133" s="33" t="s">
        <v>124</v>
      </c>
      <c r="H133" s="33">
        <v>500</v>
      </c>
      <c r="I133" s="92">
        <v>4500</v>
      </c>
      <c r="J133" s="92">
        <v>19500</v>
      </c>
      <c r="K133" s="33">
        <v>3250</v>
      </c>
      <c r="L133" s="33">
        <v>19500</v>
      </c>
      <c r="M133" s="33">
        <v>0</v>
      </c>
      <c r="N133" s="33" t="s">
        <v>43</v>
      </c>
      <c r="O133" s="98">
        <f t="shared" si="7"/>
        <v>62250</v>
      </c>
    </row>
    <row r="134" spans="1:15" x14ac:dyDescent="0.25">
      <c r="A134" s="33" t="s">
        <v>628</v>
      </c>
      <c r="B134" s="33" t="s">
        <v>152</v>
      </c>
      <c r="C134" s="33" t="s">
        <v>236</v>
      </c>
      <c r="D134" s="33" t="str">
        <f>254&amp;769621536</f>
        <v>254769621536</v>
      </c>
      <c r="E134" s="33" t="str">
        <f>254&amp;724544938</f>
        <v>254724544938</v>
      </c>
      <c r="F134" s="33">
        <v>14000</v>
      </c>
      <c r="G134" s="33" t="s">
        <v>124</v>
      </c>
      <c r="H134" s="33">
        <v>500</v>
      </c>
      <c r="I134" s="33">
        <v>4200</v>
      </c>
      <c r="J134" s="92">
        <v>18200</v>
      </c>
      <c r="K134" s="33">
        <v>3034</v>
      </c>
      <c r="L134" s="33">
        <v>18200</v>
      </c>
      <c r="M134" s="33">
        <v>0</v>
      </c>
      <c r="N134" s="33" t="s">
        <v>43</v>
      </c>
      <c r="O134" s="89">
        <f t="shared" si="7"/>
        <v>58134</v>
      </c>
    </row>
    <row r="135" spans="1:15" x14ac:dyDescent="0.25">
      <c r="A135" s="38" t="s">
        <v>628</v>
      </c>
      <c r="B135" s="33" t="s">
        <v>190</v>
      </c>
      <c r="C135" s="33" t="s">
        <v>192</v>
      </c>
      <c r="D135" s="33" t="str">
        <f>254&amp;704163771</f>
        <v>254704163771</v>
      </c>
      <c r="E135" s="33" t="str">
        <f>254&amp;727306592</f>
        <v>254727306592</v>
      </c>
      <c r="F135" s="33">
        <v>20000</v>
      </c>
      <c r="G135" s="33" t="s">
        <v>213</v>
      </c>
      <c r="H135" s="33">
        <v>500</v>
      </c>
      <c r="I135" s="33">
        <v>4000</v>
      </c>
      <c r="J135" s="33">
        <v>24000</v>
      </c>
      <c r="K135" s="33">
        <v>6000</v>
      </c>
      <c r="L135" s="33">
        <v>24000</v>
      </c>
      <c r="M135" s="33">
        <v>0</v>
      </c>
      <c r="N135" s="33" t="s">
        <v>43</v>
      </c>
      <c r="O135" s="89">
        <f t="shared" si="7"/>
        <v>78500</v>
      </c>
    </row>
    <row r="136" spans="1:15" x14ac:dyDescent="0.25">
      <c r="A136" s="38" t="s">
        <v>628</v>
      </c>
      <c r="B136" s="33" t="s">
        <v>164</v>
      </c>
      <c r="C136" s="33" t="s">
        <v>165</v>
      </c>
      <c r="D136" s="33" t="str">
        <f>254&amp;742982500</f>
        <v>254742982500</v>
      </c>
      <c r="E136" s="33" t="str">
        <f>254&amp;723791251</f>
        <v>254723791251</v>
      </c>
      <c r="F136" s="33">
        <v>8000</v>
      </c>
      <c r="G136" s="33" t="s">
        <v>16</v>
      </c>
      <c r="H136" s="33">
        <v>500</v>
      </c>
      <c r="I136" s="33">
        <v>3000</v>
      </c>
      <c r="J136" s="33">
        <v>11000</v>
      </c>
      <c r="K136" s="33">
        <v>1834</v>
      </c>
      <c r="L136" s="33">
        <v>11000</v>
      </c>
      <c r="M136" s="33">
        <v>0</v>
      </c>
      <c r="N136" s="33" t="s">
        <v>43</v>
      </c>
      <c r="O136" s="89">
        <f t="shared" si="7"/>
        <v>35334</v>
      </c>
    </row>
    <row r="137" spans="1:15" x14ac:dyDescent="0.25">
      <c r="A137" s="33" t="s">
        <v>628</v>
      </c>
      <c r="B137" s="33" t="s">
        <v>629</v>
      </c>
      <c r="C137" s="33" t="s">
        <v>630</v>
      </c>
      <c r="D137" s="33" t="str">
        <f>254&amp;707593937</f>
        <v>254707593937</v>
      </c>
      <c r="E137" s="33" t="str">
        <f>254&amp;704452061</f>
        <v>254704452061</v>
      </c>
      <c r="F137" s="33">
        <v>7000</v>
      </c>
      <c r="G137" s="33" t="s">
        <v>124</v>
      </c>
      <c r="H137" s="33">
        <v>500</v>
      </c>
      <c r="I137" s="33">
        <v>3000</v>
      </c>
      <c r="J137" s="33">
        <v>10000</v>
      </c>
      <c r="K137" s="33">
        <v>1667</v>
      </c>
      <c r="L137" s="33">
        <v>10000</v>
      </c>
      <c r="M137" s="33">
        <v>0</v>
      </c>
      <c r="N137" s="33" t="s">
        <v>17</v>
      </c>
      <c r="O137" s="89">
        <f t="shared" si="7"/>
        <v>32167</v>
      </c>
    </row>
    <row r="138" spans="1:15" x14ac:dyDescent="0.25">
      <c r="A138" s="33" t="s">
        <v>631</v>
      </c>
      <c r="B138" s="33" t="s">
        <v>632</v>
      </c>
      <c r="C138" s="33" t="s">
        <v>633</v>
      </c>
      <c r="D138" s="33" t="str">
        <f>254&amp;707143090</f>
        <v>254707143090</v>
      </c>
      <c r="E138" s="33" t="str">
        <f>254&amp;738427495</f>
        <v>254738427495</v>
      </c>
      <c r="F138" s="33">
        <v>7000</v>
      </c>
      <c r="G138" s="33" t="s">
        <v>412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10000</v>
      </c>
      <c r="M138" s="33">
        <v>0</v>
      </c>
      <c r="N138" s="33" t="s">
        <v>66</v>
      </c>
      <c r="O138" s="89">
        <f t="shared" si="7"/>
        <v>32167</v>
      </c>
    </row>
    <row r="139" spans="1:15" x14ac:dyDescent="0.25">
      <c r="A139" s="38" t="s">
        <v>631</v>
      </c>
      <c r="B139" s="33" t="s">
        <v>297</v>
      </c>
      <c r="C139" s="33" t="s">
        <v>298</v>
      </c>
      <c r="D139" s="33" t="str">
        <f>254&amp;715616331</f>
        <v>254715616331</v>
      </c>
      <c r="E139" s="33" t="str">
        <f>254&amp;704690718</f>
        <v>254704690718</v>
      </c>
      <c r="F139" s="33">
        <v>12000</v>
      </c>
      <c r="G139" s="33" t="s">
        <v>124</v>
      </c>
      <c r="H139" s="33">
        <v>500</v>
      </c>
      <c r="I139" s="33">
        <v>3600</v>
      </c>
      <c r="J139" s="33">
        <v>15600</v>
      </c>
      <c r="K139" s="33">
        <v>2600</v>
      </c>
      <c r="L139" s="33">
        <v>15600</v>
      </c>
      <c r="M139" s="33">
        <v>0</v>
      </c>
      <c r="N139" s="33" t="s">
        <v>17</v>
      </c>
      <c r="O139" s="89">
        <f t="shared" si="7"/>
        <v>49900</v>
      </c>
    </row>
    <row r="140" spans="1:15" x14ac:dyDescent="0.25">
      <c r="A140" s="38" t="s">
        <v>631</v>
      </c>
      <c r="B140" s="33" t="s">
        <v>310</v>
      </c>
      <c r="C140" s="33" t="s">
        <v>311</v>
      </c>
      <c r="D140" s="33" t="str">
        <f>254&amp;726100264</f>
        <v>254726100264</v>
      </c>
      <c r="E140" s="33" t="str">
        <f>254&amp;720882664</f>
        <v>254720882664</v>
      </c>
      <c r="F140" s="33">
        <v>5000</v>
      </c>
      <c r="G140" s="33" t="s">
        <v>130</v>
      </c>
      <c r="H140" s="33">
        <v>500</v>
      </c>
      <c r="I140" s="33">
        <v>1000</v>
      </c>
      <c r="J140" s="33">
        <v>6000</v>
      </c>
      <c r="K140" s="33">
        <v>1500</v>
      </c>
      <c r="L140" s="33">
        <v>6000</v>
      </c>
      <c r="M140" s="33">
        <v>0</v>
      </c>
      <c r="N140" s="33" t="s">
        <v>17</v>
      </c>
      <c r="O140" s="89">
        <f t="shared" si="7"/>
        <v>20000</v>
      </c>
    </row>
    <row r="141" spans="1:15" x14ac:dyDescent="0.25">
      <c r="A141" s="38" t="s">
        <v>631</v>
      </c>
      <c r="B141" s="33" t="s">
        <v>293</v>
      </c>
      <c r="C141" s="33" t="s">
        <v>79</v>
      </c>
      <c r="D141" s="33" t="str">
        <f>254&amp;759607572</f>
        <v>254759607572</v>
      </c>
      <c r="E141" s="33" t="str">
        <f>254&amp;758091413</f>
        <v>254758091413</v>
      </c>
      <c r="F141" s="33">
        <v>10000</v>
      </c>
      <c r="G141" s="33" t="s">
        <v>213</v>
      </c>
      <c r="H141" s="33">
        <v>500</v>
      </c>
      <c r="I141" s="33">
        <v>2000</v>
      </c>
      <c r="J141" s="33">
        <v>12000</v>
      </c>
      <c r="K141" s="33">
        <v>3000</v>
      </c>
      <c r="L141" s="33">
        <v>12000</v>
      </c>
      <c r="M141" s="33">
        <v>0</v>
      </c>
      <c r="N141" s="33" t="s">
        <v>43</v>
      </c>
      <c r="O141" s="89">
        <f t="shared" si="7"/>
        <v>39500</v>
      </c>
    </row>
    <row r="142" spans="1:15" x14ac:dyDescent="0.25">
      <c r="A142" s="38" t="s">
        <v>631</v>
      </c>
      <c r="B142" s="33" t="s">
        <v>67</v>
      </c>
      <c r="C142" s="33" t="s">
        <v>68</v>
      </c>
      <c r="D142" s="33" t="str">
        <f>254&amp;718886595</f>
        <v>254718886595</v>
      </c>
      <c r="E142" s="33" t="str">
        <f>254&amp;726547436</f>
        <v>254726547436</v>
      </c>
      <c r="F142" s="33">
        <v>5000</v>
      </c>
      <c r="G142" s="33" t="s">
        <v>31</v>
      </c>
      <c r="H142" s="33">
        <v>500</v>
      </c>
      <c r="I142" s="33">
        <v>1000</v>
      </c>
      <c r="J142" s="33">
        <v>6000</v>
      </c>
      <c r="K142" s="33">
        <v>1500</v>
      </c>
      <c r="L142" s="33">
        <v>6000</v>
      </c>
      <c r="M142" s="33">
        <v>0</v>
      </c>
      <c r="N142" s="33" t="s">
        <v>66</v>
      </c>
      <c r="O142" s="89">
        <f t="shared" si="7"/>
        <v>20000</v>
      </c>
    </row>
    <row r="143" spans="1:15" x14ac:dyDescent="0.25">
      <c r="A143" s="38" t="s">
        <v>631</v>
      </c>
      <c r="B143" s="33" t="s">
        <v>312</v>
      </c>
      <c r="C143" s="33" t="s">
        <v>91</v>
      </c>
      <c r="D143" s="33" t="str">
        <f>254&amp;714885607</f>
        <v>254714885607</v>
      </c>
      <c r="E143" s="33" t="str">
        <f>254&amp;796216948</f>
        <v>254796216948</v>
      </c>
      <c r="F143" s="33">
        <v>12000</v>
      </c>
      <c r="G143" s="33" t="s">
        <v>16</v>
      </c>
      <c r="H143" s="33">
        <v>500</v>
      </c>
      <c r="I143" s="33">
        <v>3600</v>
      </c>
      <c r="J143" s="33">
        <v>15600</v>
      </c>
      <c r="K143" s="33">
        <v>2600</v>
      </c>
      <c r="L143" s="33">
        <v>15600</v>
      </c>
      <c r="M143" s="33">
        <v>0</v>
      </c>
      <c r="N143" s="33" t="s">
        <v>17</v>
      </c>
      <c r="O143" s="89">
        <f t="shared" si="7"/>
        <v>49900</v>
      </c>
    </row>
    <row r="144" spans="1:15" x14ac:dyDescent="0.25">
      <c r="A144" s="33" t="s">
        <v>631</v>
      </c>
      <c r="B144" s="33" t="s">
        <v>226</v>
      </c>
      <c r="C144" s="33" t="s">
        <v>227</v>
      </c>
      <c r="D144" s="33" t="str">
        <f>254&amp;728290725</f>
        <v>254728290725</v>
      </c>
      <c r="E144" s="33" t="str">
        <f>254&amp;714592685</f>
        <v>254714592685</v>
      </c>
      <c r="F144" s="33">
        <v>15000</v>
      </c>
      <c r="G144" s="33" t="s">
        <v>124</v>
      </c>
      <c r="H144" s="33">
        <v>500</v>
      </c>
      <c r="I144" s="33">
        <v>4500</v>
      </c>
      <c r="J144" s="92">
        <v>19500</v>
      </c>
      <c r="K144" s="33">
        <v>3250</v>
      </c>
      <c r="L144" s="33">
        <v>19500</v>
      </c>
      <c r="M144" s="33">
        <v>0</v>
      </c>
      <c r="N144" s="33" t="s">
        <v>43</v>
      </c>
      <c r="O144" s="89">
        <f t="shared" si="7"/>
        <v>62250</v>
      </c>
    </row>
    <row r="145" spans="1:15" x14ac:dyDescent="0.25">
      <c r="A145" s="90" t="s">
        <v>634</v>
      </c>
      <c r="B145" s="33" t="s">
        <v>525</v>
      </c>
      <c r="C145" s="33" t="s">
        <v>526</v>
      </c>
      <c r="D145" s="33" t="str">
        <f>254&amp;714076538</f>
        <v>254714076538</v>
      </c>
      <c r="E145" s="33" t="str">
        <f>254&amp;798654955</f>
        <v>254798654955</v>
      </c>
      <c r="F145" s="33">
        <v>10000</v>
      </c>
      <c r="G145" s="33" t="s">
        <v>413</v>
      </c>
      <c r="H145" s="33">
        <v>500</v>
      </c>
      <c r="I145" s="33">
        <v>2000</v>
      </c>
      <c r="J145" s="33">
        <v>12000</v>
      </c>
      <c r="K145" s="33">
        <v>3000</v>
      </c>
      <c r="L145" s="33">
        <v>12000</v>
      </c>
      <c r="M145" s="33">
        <v>0</v>
      </c>
      <c r="N145" s="33" t="s">
        <v>17</v>
      </c>
      <c r="O145" s="89">
        <f t="shared" si="7"/>
        <v>39500</v>
      </c>
    </row>
    <row r="146" spans="1:15" x14ac:dyDescent="0.25">
      <c r="A146" s="38" t="s">
        <v>634</v>
      </c>
      <c r="B146" s="33" t="s">
        <v>162</v>
      </c>
      <c r="C146" s="33" t="s">
        <v>163</v>
      </c>
      <c r="D146" s="33" t="str">
        <f>254&amp;701169467</f>
        <v>254701169467</v>
      </c>
      <c r="E146" s="33" t="str">
        <f>254&amp;712438585</f>
        <v>254712438585</v>
      </c>
      <c r="F146" s="33">
        <v>8000</v>
      </c>
      <c r="G146" s="33" t="s">
        <v>124</v>
      </c>
      <c r="H146" s="33">
        <v>500</v>
      </c>
      <c r="I146" s="33">
        <v>3000</v>
      </c>
      <c r="J146" s="33">
        <v>11000</v>
      </c>
      <c r="K146" s="33">
        <v>1834</v>
      </c>
      <c r="L146" s="33">
        <v>11000</v>
      </c>
      <c r="M146" s="33">
        <v>0</v>
      </c>
      <c r="N146" s="33" t="s">
        <v>66</v>
      </c>
      <c r="O146" s="89">
        <f t="shared" si="7"/>
        <v>35334</v>
      </c>
    </row>
    <row r="147" spans="1:15" x14ac:dyDescent="0.25">
      <c r="A147" s="33" t="s">
        <v>634</v>
      </c>
      <c r="B147" s="33" t="s">
        <v>636</v>
      </c>
      <c r="C147" s="33" t="s">
        <v>635</v>
      </c>
      <c r="D147" s="33" t="str">
        <f>254&amp;706099951</f>
        <v>254706099951</v>
      </c>
      <c r="E147" s="33" t="str">
        <f>254&amp;727526497</f>
        <v>254727526497</v>
      </c>
      <c r="F147" s="33">
        <v>7000</v>
      </c>
      <c r="G147" s="33" t="s">
        <v>124</v>
      </c>
      <c r="H147" s="33">
        <v>500</v>
      </c>
      <c r="I147" s="33">
        <v>3000</v>
      </c>
      <c r="J147" s="33">
        <v>10000</v>
      </c>
      <c r="K147" s="33">
        <v>1667</v>
      </c>
      <c r="L147" s="33">
        <v>10000</v>
      </c>
      <c r="M147" s="33">
        <v>0</v>
      </c>
      <c r="N147" s="33" t="s">
        <v>66</v>
      </c>
      <c r="O147" s="89">
        <f t="shared" si="7"/>
        <v>32167</v>
      </c>
    </row>
    <row r="148" spans="1:15" x14ac:dyDescent="0.25">
      <c r="A148" s="38" t="s">
        <v>634</v>
      </c>
      <c r="B148" s="33" t="s">
        <v>175</v>
      </c>
      <c r="C148" s="33" t="s">
        <v>176</v>
      </c>
      <c r="D148" s="33" t="str">
        <f>254&amp;790058345</f>
        <v>254790058345</v>
      </c>
      <c r="E148" s="33" t="str">
        <f>254&amp;111510784</f>
        <v>254111510784</v>
      </c>
      <c r="F148" s="33">
        <v>8000</v>
      </c>
      <c r="G148" s="33" t="s">
        <v>213</v>
      </c>
      <c r="H148" s="33">
        <v>500</v>
      </c>
      <c r="I148" s="33">
        <v>2000</v>
      </c>
      <c r="J148" s="33">
        <v>10000</v>
      </c>
      <c r="K148" s="33">
        <v>2500</v>
      </c>
      <c r="L148" s="33">
        <v>10000</v>
      </c>
      <c r="M148" s="33">
        <v>0</v>
      </c>
      <c r="N148" s="33" t="s">
        <v>17</v>
      </c>
      <c r="O148" s="89">
        <f t="shared" si="7"/>
        <v>33000</v>
      </c>
    </row>
    <row r="149" spans="1:15" x14ac:dyDescent="0.25">
      <c r="A149" s="38" t="s">
        <v>634</v>
      </c>
      <c r="B149" s="33" t="s">
        <v>269</v>
      </c>
      <c r="C149" s="33" t="s">
        <v>270</v>
      </c>
      <c r="D149" s="33" t="str">
        <f>254&amp;714716360</f>
        <v>254714716360</v>
      </c>
      <c r="E149" s="33" t="str">
        <f>254&amp;758589148</f>
        <v>254758589148</v>
      </c>
      <c r="F149" s="33">
        <v>10000</v>
      </c>
      <c r="G149" s="33" t="s">
        <v>124</v>
      </c>
      <c r="H149" s="33">
        <v>500</v>
      </c>
      <c r="I149" s="33">
        <v>3000</v>
      </c>
      <c r="J149" s="33">
        <v>13000</v>
      </c>
      <c r="K149" s="33">
        <v>2167</v>
      </c>
      <c r="L149" s="33">
        <v>13000</v>
      </c>
      <c r="M149" s="33">
        <v>0</v>
      </c>
      <c r="N149" s="33" t="s">
        <v>17</v>
      </c>
      <c r="O149" s="89">
        <f t="shared" si="7"/>
        <v>41667</v>
      </c>
    </row>
    <row r="150" spans="1:15" x14ac:dyDescent="0.2">
      <c r="A150" s="90" t="s">
        <v>634</v>
      </c>
      <c r="B150" s="33" t="s">
        <v>331</v>
      </c>
      <c r="C150" s="33" t="s">
        <v>332</v>
      </c>
      <c r="D150" s="33" t="str">
        <f>254&amp;701035799</f>
        <v>254701035799</v>
      </c>
      <c r="E150" s="33" t="str">
        <f>254&amp;703322932</f>
        <v>254703322932</v>
      </c>
      <c r="F150" s="33">
        <v>10000</v>
      </c>
      <c r="G150" s="6" t="s">
        <v>213</v>
      </c>
      <c r="H150" s="33">
        <v>500</v>
      </c>
      <c r="I150" s="33">
        <v>2000</v>
      </c>
      <c r="J150" s="33">
        <v>12000</v>
      </c>
      <c r="K150" s="33">
        <v>3000</v>
      </c>
      <c r="L150" s="33">
        <v>12000</v>
      </c>
      <c r="M150" s="33">
        <v>0</v>
      </c>
      <c r="N150" s="33" t="s">
        <v>66</v>
      </c>
      <c r="O150" s="89">
        <f t="shared" si="7"/>
        <v>39500</v>
      </c>
    </row>
    <row r="151" spans="1:15" x14ac:dyDescent="0.25">
      <c r="A151" s="33" t="s">
        <v>634</v>
      </c>
      <c r="B151" s="33" t="s">
        <v>637</v>
      </c>
      <c r="C151" s="33" t="s">
        <v>638</v>
      </c>
      <c r="D151" s="33" t="str">
        <f>254&amp;119173109</f>
        <v>254119173109</v>
      </c>
      <c r="E151" s="33" t="str">
        <f>254&amp;728845042</f>
        <v>254728845042</v>
      </c>
      <c r="F151" s="33">
        <v>10000</v>
      </c>
      <c r="G151" s="33" t="s">
        <v>412</v>
      </c>
      <c r="H151" s="33">
        <v>500</v>
      </c>
      <c r="I151" s="33">
        <v>3000</v>
      </c>
      <c r="J151" s="33">
        <v>13000</v>
      </c>
      <c r="K151" s="33">
        <v>2167</v>
      </c>
      <c r="L151" s="33">
        <v>13000</v>
      </c>
      <c r="M151" s="33">
        <v>0</v>
      </c>
      <c r="N151" s="33" t="s">
        <v>66</v>
      </c>
      <c r="O151" s="89">
        <f t="shared" si="7"/>
        <v>41667</v>
      </c>
    </row>
    <row r="152" spans="1:15" x14ac:dyDescent="0.25">
      <c r="A152" s="90" t="s">
        <v>640</v>
      </c>
      <c r="B152" s="33" t="s">
        <v>598</v>
      </c>
      <c r="C152" s="33" t="s">
        <v>423</v>
      </c>
      <c r="D152" s="33">
        <v>142842993</v>
      </c>
      <c r="E152" s="33">
        <v>718878829</v>
      </c>
      <c r="F152" s="33">
        <v>5000</v>
      </c>
      <c r="G152" s="33" t="s">
        <v>424</v>
      </c>
      <c r="H152" s="33">
        <v>500</v>
      </c>
      <c r="I152" s="33">
        <v>1000</v>
      </c>
      <c r="J152" s="33">
        <v>6000</v>
      </c>
      <c r="K152" s="33">
        <v>1500</v>
      </c>
      <c r="L152" s="33">
        <v>6000</v>
      </c>
      <c r="M152" s="33">
        <v>0</v>
      </c>
      <c r="N152" s="33" t="s">
        <v>17</v>
      </c>
      <c r="O152" s="89">
        <f t="shared" si="7"/>
        <v>20000</v>
      </c>
    </row>
    <row r="153" spans="1:15" x14ac:dyDescent="0.25">
      <c r="A153" s="38" t="s">
        <v>640</v>
      </c>
      <c r="B153" s="33" t="s">
        <v>133</v>
      </c>
      <c r="C153" s="33" t="s">
        <v>134</v>
      </c>
      <c r="D153" s="33">
        <v>700549110</v>
      </c>
      <c r="E153" s="33">
        <v>25479480201</v>
      </c>
      <c r="F153" s="33">
        <v>10000</v>
      </c>
      <c r="G153" s="33" t="s">
        <v>121</v>
      </c>
      <c r="H153" s="33">
        <v>500</v>
      </c>
      <c r="I153" s="33">
        <v>3000</v>
      </c>
      <c r="J153" s="33">
        <v>13000</v>
      </c>
      <c r="K153" s="33">
        <v>2167</v>
      </c>
      <c r="L153" s="33">
        <v>13000</v>
      </c>
      <c r="M153" s="33">
        <v>0</v>
      </c>
      <c r="N153" s="33" t="s">
        <v>17</v>
      </c>
      <c r="O153" s="89">
        <f t="shared" si="7"/>
        <v>41667</v>
      </c>
    </row>
    <row r="154" spans="1:15" x14ac:dyDescent="0.25">
      <c r="A154" s="38" t="s">
        <v>640</v>
      </c>
      <c r="B154" s="33" t="s">
        <v>315</v>
      </c>
      <c r="C154" s="33" t="s">
        <v>316</v>
      </c>
      <c r="D154" s="33">
        <v>724442266</v>
      </c>
      <c r="E154" s="33">
        <v>25472214101</v>
      </c>
      <c r="F154" s="33">
        <v>10000</v>
      </c>
      <c r="G154" s="33" t="s">
        <v>130</v>
      </c>
      <c r="H154" s="33">
        <v>500</v>
      </c>
      <c r="I154" s="33">
        <v>2000</v>
      </c>
      <c r="J154" s="33">
        <v>12000</v>
      </c>
      <c r="K154" s="33">
        <v>3000</v>
      </c>
      <c r="L154" s="33">
        <v>12000</v>
      </c>
      <c r="M154" s="33">
        <v>0</v>
      </c>
      <c r="N154" s="33" t="s">
        <v>17</v>
      </c>
      <c r="O154" s="89">
        <f t="shared" si="7"/>
        <v>39500</v>
      </c>
    </row>
    <row r="155" spans="1:15" x14ac:dyDescent="0.25">
      <c r="A155" s="33" t="s">
        <v>640</v>
      </c>
      <c r="B155" s="33" t="s">
        <v>199</v>
      </c>
      <c r="C155" s="33" t="s">
        <v>200</v>
      </c>
      <c r="D155" s="33">
        <v>758372505</v>
      </c>
      <c r="E155" s="33">
        <v>254</v>
      </c>
      <c r="F155" s="92">
        <v>10000</v>
      </c>
      <c r="G155" s="33" t="s">
        <v>124</v>
      </c>
      <c r="H155" s="33">
        <v>500</v>
      </c>
      <c r="I155" s="92">
        <v>3000</v>
      </c>
      <c r="J155" s="92">
        <v>13000</v>
      </c>
      <c r="K155" s="33">
        <v>2167</v>
      </c>
      <c r="L155" s="33">
        <v>2167</v>
      </c>
      <c r="M155" s="33">
        <v>10833</v>
      </c>
      <c r="N155" s="33" t="s">
        <v>43</v>
      </c>
      <c r="O155" s="98">
        <f t="shared" si="7"/>
        <v>41667</v>
      </c>
    </row>
    <row r="156" spans="1:15" x14ac:dyDescent="0.25">
      <c r="A156" s="33" t="s">
        <v>640</v>
      </c>
      <c r="B156" s="33" t="s">
        <v>641</v>
      </c>
      <c r="C156" s="33" t="s">
        <v>642</v>
      </c>
      <c r="D156" s="33">
        <v>718659733</v>
      </c>
      <c r="E156" s="33">
        <v>790796424</v>
      </c>
      <c r="F156" s="33">
        <v>7000</v>
      </c>
      <c r="G156" s="33" t="s">
        <v>412</v>
      </c>
      <c r="H156" s="33">
        <v>500</v>
      </c>
      <c r="I156" s="33">
        <v>3000</v>
      </c>
      <c r="J156" s="33">
        <v>10000</v>
      </c>
      <c r="K156" s="33">
        <v>1667</v>
      </c>
      <c r="L156" s="33">
        <v>10000</v>
      </c>
      <c r="M156" s="33">
        <v>0</v>
      </c>
      <c r="N156" s="33" t="s">
        <v>43</v>
      </c>
      <c r="O156" s="89">
        <f t="shared" si="7"/>
        <v>32167</v>
      </c>
    </row>
    <row r="157" spans="1:15" x14ac:dyDescent="0.25">
      <c r="A157" s="38" t="s">
        <v>643</v>
      </c>
      <c r="B157" s="33" t="s">
        <v>65</v>
      </c>
      <c r="C157" s="33" t="s">
        <v>268</v>
      </c>
      <c r="D157" s="33">
        <v>717622386</v>
      </c>
      <c r="E157" s="33" t="s">
        <v>644</v>
      </c>
      <c r="F157" s="33">
        <v>12000</v>
      </c>
      <c r="G157" s="33" t="s">
        <v>31</v>
      </c>
      <c r="H157" s="33">
        <v>500</v>
      </c>
      <c r="I157" s="33">
        <v>2400</v>
      </c>
      <c r="J157" s="33">
        <v>14400</v>
      </c>
      <c r="K157" s="33">
        <v>3600</v>
      </c>
      <c r="L157" s="33">
        <v>14400</v>
      </c>
      <c r="M157" s="33">
        <v>0</v>
      </c>
      <c r="N157" s="33" t="s">
        <v>66</v>
      </c>
      <c r="O157" s="89">
        <f t="shared" si="7"/>
        <v>47300</v>
      </c>
    </row>
    <row r="158" spans="1:15" x14ac:dyDescent="0.25">
      <c r="A158" s="38" t="s">
        <v>643</v>
      </c>
      <c r="B158" s="33" t="s">
        <v>327</v>
      </c>
      <c r="C158" s="33" t="s">
        <v>328</v>
      </c>
      <c r="D158" s="33">
        <v>702028822</v>
      </c>
      <c r="E158" s="33">
        <v>713501528</v>
      </c>
      <c r="F158" s="33">
        <v>10000</v>
      </c>
      <c r="G158" s="33" t="s">
        <v>124</v>
      </c>
      <c r="H158" s="33">
        <v>500</v>
      </c>
      <c r="I158" s="33">
        <v>3000</v>
      </c>
      <c r="J158" s="33">
        <v>13000</v>
      </c>
      <c r="K158" s="33">
        <v>2167</v>
      </c>
      <c r="L158" s="33">
        <v>2167</v>
      </c>
      <c r="M158" s="33">
        <v>0</v>
      </c>
      <c r="N158" s="33" t="s">
        <v>66</v>
      </c>
      <c r="O158" s="89">
        <f t="shared" si="7"/>
        <v>30834</v>
      </c>
    </row>
    <row r="159" spans="1:15" x14ac:dyDescent="0.25">
      <c r="A159" s="38" t="s">
        <v>643</v>
      </c>
      <c r="B159" s="33" t="s">
        <v>206</v>
      </c>
      <c r="C159" s="33" t="s">
        <v>207</v>
      </c>
      <c r="D159" s="33">
        <v>711410254</v>
      </c>
      <c r="E159" s="33">
        <v>715257237</v>
      </c>
      <c r="F159" s="33">
        <v>7000</v>
      </c>
      <c r="G159" s="33" t="s">
        <v>124</v>
      </c>
      <c r="H159" s="33">
        <v>500</v>
      </c>
      <c r="I159" s="33">
        <v>3000</v>
      </c>
      <c r="J159" s="33">
        <v>10000</v>
      </c>
      <c r="K159" s="33">
        <v>1667</v>
      </c>
      <c r="L159" s="33">
        <v>10000</v>
      </c>
      <c r="M159" s="33">
        <v>0</v>
      </c>
      <c r="N159" s="33" t="s">
        <v>43</v>
      </c>
      <c r="O159" s="89">
        <f t="shared" si="7"/>
        <v>32167</v>
      </c>
    </row>
    <row r="160" spans="1:15" x14ac:dyDescent="0.25">
      <c r="A160" s="38" t="s">
        <v>643</v>
      </c>
      <c r="B160" s="33" t="s">
        <v>150</v>
      </c>
      <c r="C160" s="33" t="s">
        <v>645</v>
      </c>
      <c r="D160" s="33">
        <v>702599233</v>
      </c>
      <c r="E160" s="33">
        <v>797584851</v>
      </c>
      <c r="F160" s="33">
        <v>7000</v>
      </c>
      <c r="G160" s="33" t="s">
        <v>412</v>
      </c>
      <c r="H160" s="33">
        <v>500</v>
      </c>
      <c r="I160" s="33">
        <v>3000</v>
      </c>
      <c r="J160" s="33">
        <v>10000</v>
      </c>
      <c r="K160" s="33">
        <v>2167</v>
      </c>
      <c r="L160" s="33">
        <v>10000</v>
      </c>
      <c r="M160" s="33">
        <v>0</v>
      </c>
      <c r="N160" s="33" t="s">
        <v>17</v>
      </c>
      <c r="O160" s="89">
        <f t="shared" si="7"/>
        <v>32667</v>
      </c>
    </row>
    <row r="161" spans="1:15" x14ac:dyDescent="0.25">
      <c r="A161" s="33" t="s">
        <v>643</v>
      </c>
      <c r="B161" s="33" t="s">
        <v>238</v>
      </c>
      <c r="C161" s="33" t="s">
        <v>239</v>
      </c>
      <c r="D161" s="33">
        <v>795544079</v>
      </c>
      <c r="E161" s="33">
        <v>713472309</v>
      </c>
      <c r="F161" s="33">
        <v>10000</v>
      </c>
      <c r="G161" s="33" t="s">
        <v>412</v>
      </c>
      <c r="H161" s="33">
        <v>500</v>
      </c>
      <c r="I161" s="33">
        <v>3000</v>
      </c>
      <c r="J161" s="92">
        <v>13000</v>
      </c>
      <c r="K161" s="33">
        <v>2167</v>
      </c>
      <c r="L161" s="33">
        <v>13000</v>
      </c>
      <c r="M161" s="33">
        <v>0</v>
      </c>
      <c r="N161" s="33" t="s">
        <v>43</v>
      </c>
      <c r="O161" s="89">
        <f t="shared" si="7"/>
        <v>41667</v>
      </c>
    </row>
    <row r="162" spans="1:15" x14ac:dyDescent="0.25">
      <c r="A162" s="33" t="s">
        <v>646</v>
      </c>
      <c r="B162" s="33" t="s">
        <v>647</v>
      </c>
      <c r="C162" s="33" t="s">
        <v>648</v>
      </c>
      <c r="D162" s="33">
        <v>729828281</v>
      </c>
      <c r="E162" s="33">
        <v>713328411</v>
      </c>
      <c r="F162" s="33">
        <v>7000</v>
      </c>
      <c r="G162" s="33" t="s">
        <v>412</v>
      </c>
      <c r="H162" s="33">
        <v>500</v>
      </c>
      <c r="I162" s="33">
        <v>3000</v>
      </c>
      <c r="J162" s="33">
        <v>10000</v>
      </c>
      <c r="K162" s="33">
        <v>1667</v>
      </c>
      <c r="L162" s="33">
        <v>10000</v>
      </c>
      <c r="M162" s="33">
        <v>0</v>
      </c>
      <c r="N162" s="33" t="s">
        <v>43</v>
      </c>
      <c r="O162" s="89">
        <f t="shared" ref="O162:O172" si="8">SUM(F162:N162)</f>
        <v>32167</v>
      </c>
    </row>
    <row r="163" spans="1:15" x14ac:dyDescent="0.25">
      <c r="A163" s="90" t="s">
        <v>646</v>
      </c>
      <c r="B163" s="33" t="s">
        <v>511</v>
      </c>
      <c r="C163" s="33" t="s">
        <v>512</v>
      </c>
      <c r="D163" s="33" t="str">
        <f>254&amp;23849109</f>
        <v>25423849109</v>
      </c>
      <c r="E163" s="33" t="str">
        <f>254&amp;711237285</f>
        <v>254711237285</v>
      </c>
      <c r="F163" s="33">
        <v>10000</v>
      </c>
      <c r="G163" s="33" t="s">
        <v>124</v>
      </c>
      <c r="H163" s="33">
        <v>500</v>
      </c>
      <c r="I163" s="33">
        <v>3000</v>
      </c>
      <c r="J163" s="33">
        <v>13000</v>
      </c>
      <c r="K163" s="33">
        <v>2167</v>
      </c>
      <c r="L163" s="33">
        <v>13000</v>
      </c>
      <c r="M163" s="33">
        <v>0</v>
      </c>
      <c r="N163" s="33" t="s">
        <v>43</v>
      </c>
      <c r="O163" s="89">
        <f t="shared" si="8"/>
        <v>41667</v>
      </c>
    </row>
    <row r="164" spans="1:15" x14ac:dyDescent="0.25">
      <c r="A164" s="38" t="s">
        <v>646</v>
      </c>
      <c r="B164" s="33" t="s">
        <v>285</v>
      </c>
      <c r="C164" s="33" t="s">
        <v>286</v>
      </c>
      <c r="D164" s="33">
        <v>721961454</v>
      </c>
      <c r="E164" s="33">
        <v>714126599</v>
      </c>
      <c r="F164" s="33">
        <v>7000</v>
      </c>
      <c r="G164" s="33" t="s">
        <v>124</v>
      </c>
      <c r="H164" s="33">
        <v>500</v>
      </c>
      <c r="I164" s="33">
        <v>3000</v>
      </c>
      <c r="J164" s="33">
        <v>10000</v>
      </c>
      <c r="K164" s="33">
        <v>1667</v>
      </c>
      <c r="L164" s="33">
        <v>10000</v>
      </c>
      <c r="M164" s="33">
        <v>0</v>
      </c>
      <c r="N164" s="33" t="s">
        <v>17</v>
      </c>
      <c r="O164" s="89">
        <f t="shared" si="8"/>
        <v>32167</v>
      </c>
    </row>
    <row r="165" spans="1:15" x14ac:dyDescent="0.25">
      <c r="A165" s="38" t="s">
        <v>646</v>
      </c>
      <c r="B165" s="33" t="s">
        <v>221</v>
      </c>
      <c r="C165" s="33" t="s">
        <v>222</v>
      </c>
      <c r="D165" s="33">
        <v>743665781</v>
      </c>
      <c r="E165" s="33">
        <v>721439189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10000</v>
      </c>
      <c r="M165" s="33">
        <v>0</v>
      </c>
      <c r="N165" s="33" t="s">
        <v>43</v>
      </c>
      <c r="O165" s="89">
        <f t="shared" si="8"/>
        <v>32167</v>
      </c>
    </row>
    <row r="166" spans="1:15" x14ac:dyDescent="0.2">
      <c r="A166" s="90" t="s">
        <v>646</v>
      </c>
      <c r="B166" s="33" t="s">
        <v>83</v>
      </c>
      <c r="C166" s="33" t="s">
        <v>566</v>
      </c>
      <c r="D166" s="33" t="str">
        <f>254&amp;720813561</f>
        <v>254720813561</v>
      </c>
      <c r="E166" s="33" t="str">
        <f>254&amp;725426487</f>
        <v>254725426487</v>
      </c>
      <c r="F166" s="33">
        <v>17000</v>
      </c>
      <c r="G166" s="6" t="s">
        <v>124</v>
      </c>
      <c r="H166" s="33">
        <v>500</v>
      </c>
      <c r="I166" s="33">
        <v>4500</v>
      </c>
      <c r="J166" s="33">
        <v>22100</v>
      </c>
      <c r="K166" s="33">
        <v>3684</v>
      </c>
      <c r="L166" s="33">
        <v>22100</v>
      </c>
      <c r="M166" s="33">
        <v>0</v>
      </c>
      <c r="N166" s="33" t="s">
        <v>43</v>
      </c>
      <c r="O166" s="89">
        <f t="shared" si="8"/>
        <v>69884</v>
      </c>
    </row>
    <row r="167" spans="1:15" x14ac:dyDescent="0.25">
      <c r="A167" s="33" t="s">
        <v>646</v>
      </c>
      <c r="B167" s="33" t="s">
        <v>649</v>
      </c>
      <c r="C167" s="33" t="s">
        <v>650</v>
      </c>
      <c r="D167" s="33">
        <v>705851219</v>
      </c>
      <c r="E167" s="33">
        <v>742242993</v>
      </c>
      <c r="F167" s="33">
        <v>7000</v>
      </c>
      <c r="G167" s="33" t="s">
        <v>413</v>
      </c>
      <c r="H167" s="33">
        <v>500</v>
      </c>
      <c r="I167" s="33">
        <v>2000</v>
      </c>
      <c r="J167" s="33">
        <v>9000</v>
      </c>
      <c r="K167" s="33">
        <v>2250</v>
      </c>
      <c r="L167" s="33">
        <v>4500</v>
      </c>
      <c r="M167" s="33">
        <v>4500</v>
      </c>
      <c r="N167" s="89" t="s">
        <v>66</v>
      </c>
      <c r="O167" s="89">
        <f t="shared" si="8"/>
        <v>29750</v>
      </c>
    </row>
    <row r="168" spans="1:15" x14ac:dyDescent="0.25">
      <c r="A168" s="90" t="s">
        <v>651</v>
      </c>
      <c r="B168" s="33" t="s">
        <v>337</v>
      </c>
      <c r="C168" s="33" t="s">
        <v>338</v>
      </c>
      <c r="D168" s="33">
        <v>711382851</v>
      </c>
      <c r="E168" s="33">
        <v>758274400</v>
      </c>
      <c r="F168" s="33">
        <v>5000</v>
      </c>
      <c r="G168" s="33" t="s">
        <v>213</v>
      </c>
      <c r="H168" s="33">
        <v>500</v>
      </c>
      <c r="I168" s="33">
        <v>1000</v>
      </c>
      <c r="J168" s="33">
        <v>6000</v>
      </c>
      <c r="K168" s="33">
        <v>1500</v>
      </c>
      <c r="L168" s="33">
        <v>6000</v>
      </c>
      <c r="M168" s="33">
        <v>0</v>
      </c>
      <c r="N168" s="33" t="s">
        <v>17</v>
      </c>
      <c r="O168" s="89">
        <f t="shared" si="8"/>
        <v>20000</v>
      </c>
    </row>
    <row r="169" spans="1:15" x14ac:dyDescent="0.25">
      <c r="A169" s="90" t="s">
        <v>651</v>
      </c>
      <c r="B169" s="33" t="s">
        <v>86</v>
      </c>
      <c r="C169" s="33" t="s">
        <v>426</v>
      </c>
      <c r="D169" s="33">
        <v>708199244</v>
      </c>
      <c r="E169" s="33">
        <v>700509057</v>
      </c>
      <c r="F169" s="33">
        <v>20000</v>
      </c>
      <c r="G169" s="33" t="s">
        <v>413</v>
      </c>
      <c r="H169" s="33">
        <v>500</v>
      </c>
      <c r="I169" s="33">
        <v>4000</v>
      </c>
      <c r="J169" s="33">
        <v>24000</v>
      </c>
      <c r="K169" s="33">
        <v>6000</v>
      </c>
      <c r="L169" s="33">
        <v>24000</v>
      </c>
      <c r="M169" s="33">
        <v>0</v>
      </c>
      <c r="N169" s="33" t="s">
        <v>17</v>
      </c>
      <c r="O169" s="89">
        <f t="shared" si="8"/>
        <v>78500</v>
      </c>
    </row>
    <row r="170" spans="1:15" x14ac:dyDescent="0.25">
      <c r="A170" s="90" t="s">
        <v>651</v>
      </c>
      <c r="B170" s="33" t="s">
        <v>500</v>
      </c>
      <c r="C170" s="33" t="s">
        <v>89</v>
      </c>
      <c r="D170" s="33">
        <v>715706681</v>
      </c>
      <c r="E170" s="33">
        <v>722948117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24000</v>
      </c>
      <c r="M170" s="33">
        <v>0</v>
      </c>
      <c r="N170" s="33" t="s">
        <v>17</v>
      </c>
      <c r="O170" s="89">
        <f t="shared" si="8"/>
        <v>78500</v>
      </c>
    </row>
    <row r="171" spans="1:15" x14ac:dyDescent="0.25">
      <c r="A171" s="33" t="s">
        <v>651</v>
      </c>
      <c r="B171" s="33" t="s">
        <v>59</v>
      </c>
      <c r="C171" s="33" t="s">
        <v>575</v>
      </c>
      <c r="D171" s="33">
        <v>769573260</v>
      </c>
      <c r="E171" s="33">
        <v>702653933</v>
      </c>
      <c r="F171" s="33">
        <v>10000</v>
      </c>
      <c r="G171" s="33" t="s">
        <v>532</v>
      </c>
      <c r="H171" s="33">
        <v>500</v>
      </c>
      <c r="I171" s="33">
        <v>2000</v>
      </c>
      <c r="J171" s="33">
        <v>12000</v>
      </c>
      <c r="K171" s="33">
        <v>3000</v>
      </c>
      <c r="L171" s="33">
        <v>12000</v>
      </c>
      <c r="M171" s="33">
        <v>0</v>
      </c>
      <c r="N171" s="33" t="s">
        <v>43</v>
      </c>
      <c r="O171" s="89">
        <f t="shared" si="8"/>
        <v>39500</v>
      </c>
    </row>
    <row r="172" spans="1:15" x14ac:dyDescent="0.25">
      <c r="A172" s="90" t="s">
        <v>651</v>
      </c>
      <c r="B172" s="33" t="s">
        <v>185</v>
      </c>
      <c r="C172" s="33" t="s">
        <v>186</v>
      </c>
      <c r="D172" s="33">
        <v>723858169</v>
      </c>
      <c r="E172" s="33">
        <v>703286633</v>
      </c>
      <c r="F172" s="33">
        <v>7000</v>
      </c>
      <c r="G172" s="33" t="s">
        <v>413</v>
      </c>
      <c r="H172" s="33">
        <v>500</v>
      </c>
      <c r="I172" s="33">
        <v>3000</v>
      </c>
      <c r="J172" s="33">
        <v>9000</v>
      </c>
      <c r="K172" s="33">
        <v>2250</v>
      </c>
      <c r="L172" s="33">
        <v>9000</v>
      </c>
      <c r="M172" s="33">
        <v>0</v>
      </c>
      <c r="N172" s="33" t="s">
        <v>43</v>
      </c>
      <c r="O172" s="89">
        <f t="shared" si="8"/>
        <v>30750</v>
      </c>
    </row>
    <row r="173" spans="1:15" x14ac:dyDescent="0.25">
      <c r="F173" s="89">
        <f>SUM(F2:F172)</f>
        <v>1704000</v>
      </c>
      <c r="H173" s="89">
        <f t="shared" ref="H173:M173" si="9">SUM(H2:H172)</f>
        <v>85500</v>
      </c>
      <c r="I173" s="89">
        <f t="shared" si="9"/>
        <v>518050</v>
      </c>
      <c r="J173" s="89">
        <f t="shared" si="9"/>
        <v>2217258</v>
      </c>
      <c r="K173" s="89">
        <f t="shared" si="9"/>
        <v>426090</v>
      </c>
      <c r="L173" s="89">
        <f t="shared" si="9"/>
        <v>2135726</v>
      </c>
      <c r="M173" s="89">
        <f t="shared" si="9"/>
        <v>61691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8" sqref="A8"/>
    </sheetView>
  </sheetViews>
  <sheetFormatPr defaultRowHeight="15" x14ac:dyDescent="0.25"/>
  <sheetData>
    <row r="1" spans="1:1" x14ac:dyDescent="0.25">
      <c r="A1" s="33"/>
    </row>
    <row r="2" spans="1:1" x14ac:dyDescent="0.25">
      <c r="A2" s="33"/>
    </row>
    <row r="3" spans="1:1" x14ac:dyDescent="0.25">
      <c r="A3" s="33"/>
    </row>
    <row r="4" spans="1:1" x14ac:dyDescent="0.25">
      <c r="A4" s="33"/>
    </row>
    <row r="5" spans="1:1" x14ac:dyDescent="0.25">
      <c r="A5" s="33"/>
    </row>
    <row r="6" spans="1:1" x14ac:dyDescent="0.25">
      <c r="A6" s="33"/>
    </row>
    <row r="7" spans="1:1" x14ac:dyDescent="0.25">
      <c r="A7" s="33"/>
    </row>
    <row r="8" spans="1:1" x14ac:dyDescent="0.25">
      <c r="A8" s="33"/>
    </row>
    <row r="9" spans="1:1" x14ac:dyDescent="0.25">
      <c r="A9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D13" sqref="D13"/>
    </sheetView>
  </sheetViews>
  <sheetFormatPr defaultRowHeight="15" x14ac:dyDescent="0.25"/>
  <cols>
    <col min="1" max="1" width="7.140625" customWidth="1"/>
    <col min="2" max="2" width="9.140625" hidden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Sheet8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2026-05-12T19:59:48Z</dcterms:created>
  <dcterms:modified xsi:type="dcterms:W3CDTF">2026-09-29T14:28:23Z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